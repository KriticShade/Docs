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e SSI" sheetId="1" state="visible" r:id="rId3"/>
    <sheet name="Synthèse" sheetId="2" state="visible" r:id="rId4"/>
  </sheets>
  <definedNames>
    <definedName function="false" hidden="true" localSheetId="0" name="_xlnm._FilterDatabase" vbProcedure="false">'Controle SSI'!$A$1:$K$81</definedName>
    <definedName function="false" hidden="true" localSheetId="1" name="_xlnm._FilterDatabase" vbProcedure="false">Synthèse!$A$1:$J$13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<sst xmlns="http://schemas.openxmlformats.org/spreadsheetml/2006/main" count="519" uniqueCount="258">
  <si>
    <t xml:space="preserve">QUESTIONNAIRE DE CONTRÔLE INTERNE SSI — NIVEAU 1</t>
  </si>
  <si>
    <t xml:space="preserve">Domaine</t>
  </si>
  <si>
    <t xml:space="preserve">Sous-thème</t>
  </si>
  <si>
    <t xml:space="preserve">Question</t>
  </si>
  <si>
    <t xml:space="preserve">Type de preuve attendue</t>
  </si>
  <si>
    <t xml:space="preserve">Méthode de vérification</t>
  </si>
  <si>
    <t xml:space="preserve">Criticité</t>
  </si>
  <si>
    <t xml:space="preserve">Conformité (Oui/Non/Partiel)</t>
  </si>
  <si>
    <t xml:space="preserve">Commentaires</t>
  </si>
  <si>
    <t xml:space="preserve">Score (0-2)</t>
  </si>
  <si>
    <t xml:space="preserve">Responsable</t>
  </si>
  <si>
    <t xml:space="preserve">Date de contrôle</t>
  </si>
  <si>
    <t xml:space="preserve">A</t>
  </si>
  <si>
    <t xml:space="preserve">Cartographie des systèmes</t>
  </si>
  <si>
    <t xml:space="preserve">Connaissez-vous les systèmes d'information que vous utilisez quotidiennement ?</t>
  </si>
  <si>
    <t xml:space="preserve">Réponse verbally cohérente + identification des SI critiques</t>
  </si>
  <si>
    <t xml:space="preserve">Entretien</t>
  </si>
  <si>
    <t xml:space="preserve">Élevée</t>
  </si>
  <si>
    <t xml:space="preserve">Êtes-vous capable d'identifier l'impact métier en cas d'indisponibilité de vos outils ?</t>
  </si>
  <si>
    <t xml:space="preserve">Description des processus impactés</t>
  </si>
  <si>
    <t xml:space="preserve">Connaissez-vous le Plan de Continuité d'Activité (PCA) applicable à votre poste ?</t>
  </si>
  <si>
    <t xml:space="preserve">Référence au PCA connu / accessible</t>
  </si>
  <si>
    <t xml:space="preserve">Moyenne</t>
  </si>
  <si>
    <t xml:space="preserve">Documentation SSI</t>
  </si>
  <si>
    <t xml:space="preserve">Connaissez-vous l'organisation SSI de votre unité (RSSI, CSSI, référents) ?</t>
  </si>
  <si>
    <t xml:space="preserve">Identification correcte des contacts SSI</t>
  </si>
  <si>
    <t xml:space="preserve">Savez-vous où consulter les procédures de sécurité applicables à votre poste ?</t>
  </si>
  <si>
    <t xml:space="preserve">Accès physique ou numérique aux procédures</t>
  </si>
  <si>
    <t xml:space="preserve">Entretien / Technique</t>
  </si>
  <si>
    <t xml:space="preserve">Avez-vous pris connaissance de la politique de sécurité de l'organisme ?</t>
  </si>
  <si>
    <t xml:space="preserve">Signature de la Charte Informatique ou équivalent</t>
  </si>
  <si>
    <t xml:space="preserve">Responsabilités</t>
  </si>
  <si>
    <t xml:space="preserve">Connaissez-vous vos obligations en matière de sécurité numérique ?</t>
  </si>
  <si>
    <t xml:space="preserve">Réponse structurée sur les duties SSI</t>
  </si>
  <si>
    <t xml:space="preserve">Savez-vous à qui incombe la responsabilité de la protection des données sur votre poste ?</t>
  </si>
  <si>
    <t xml:space="preserve">Identification correcte (utilisateur + administration)</t>
  </si>
  <si>
    <t xml:space="preserve">Plans d'amélioration continue</t>
  </si>
  <si>
    <t xml:space="preserve">Des actions d'amélioration SSI vous ont-elles été communiquées récemment ?</t>
  </si>
  <si>
    <t xml:space="preserve">Existence d'un plan d'action connu</t>
  </si>
  <si>
    <t xml:space="preserve">Faible</t>
  </si>
  <si>
    <t xml:space="preserve">Participez-vous à des campagnes de sensibilisation ou formations SSI ?</t>
  </si>
  <si>
    <t xml:space="preserve">Attestations de formation, traces de participation</t>
  </si>
  <si>
    <t xml:space="preserve">Entretien / Vérification RH</t>
  </si>
  <si>
    <t xml:space="preserve">B</t>
  </si>
  <si>
    <t xml:space="preserve">Inventaire / Marquage / Suivi</t>
  </si>
  <si>
    <t xml:space="preserve">Votre poste est-il référencé dans l'inventaire des actifs informatiques ?</t>
  </si>
  <si>
    <t xml:space="preserve">Poste présent dans la GLPI / inventaire officiel</t>
  </si>
  <si>
    <t xml:space="preserve">Technique (GLPI)</t>
  </si>
  <si>
    <t xml:space="preserve">Les supports de stockage utilisés portent-ils un marquage d classification ?</t>
  </si>
  <si>
    <t xml:space="preserve">Étiquette ou marquage visible sur le support</t>
  </si>
  <si>
    <t xml:space="preserve">Inspection physique</t>
  </si>
  <si>
    <t xml:space="preserve">Avez-vous des ISC numériques (documents classifiés) sur votre poste ?</t>
  </si>
  <si>
    <t xml:space="preserve">Déclaration utilisateur + inventaire ISC</t>
  </si>
  <si>
    <t xml:space="preserve">Connaissez-vous la procédure de gestion des ISC qui vous sont attribués ?</t>
  </si>
  <si>
    <t xml:space="preserve">Référence à la procédure officielle</t>
  </si>
  <si>
    <t xml:space="preserve">C</t>
  </si>
  <si>
    <t xml:space="preserve">Politique d'authentification</t>
  </si>
  <si>
    <t xml:space="preserve">Votre poste est-il protégé par un mot de passe ou biométrie au démarrage ?</t>
  </si>
  <si>
    <t xml:space="preserve">Vérification du verrouillage automatique</t>
  </si>
  <si>
    <t xml:space="preserve">Technique</t>
  </si>
  <si>
    <t xml:space="preserve">Votre session est-elle automatiquement verrouillée après une période d'inactivité ?</t>
  </si>
  <si>
    <t xml:space="preserve">Test du verrouillage (paramètre &lt; 10 min)</t>
  </si>
  <si>
    <t xml:space="preserve">Utilisez-vous un mot de passe conforme à la politique (longueur, complexité) ?</t>
  </si>
  <si>
    <t xml:space="preserve">Vérification via les parametres Windows / audit</t>
  </si>
  <si>
    <t xml:space="preserve">Le mot de passe de votre session est-il identique ou proche de votre mot de passe personnel ?</t>
  </si>
  <si>
    <t xml:space="preserve">Déclaration utilisateur</t>
  </si>
  <si>
    <t xml:space="preserve">Gestion des droits</t>
  </si>
  <si>
    <t xml:space="preserve">Conaissez-vous le niveau de privilège de votre compte utilisateur ?</t>
  </si>
  <si>
    <t xml:space="preserve">Réponse correcte (utilisateur simple / admin)</t>
  </si>
  <si>
    <t xml:space="preserve">Avez-vous installé des logiciels sans passer par le service informatique ?</t>
  </si>
  <si>
    <t xml:space="preserve">Liste deslogiciels installes / registre</t>
  </si>
  <si>
    <t xml:space="preserve">Technique (Script + inspection)</t>
  </si>
  <si>
    <t xml:space="preserve">Avez-vous modifié des paramètres système (pare-feu, registre, politique de groupe) ?</t>
  </si>
  <si>
    <t xml:space="preserve">Comparaison avec l'image de référence</t>
  </si>
  <si>
    <t xml:space="preserve">Technique (Script)</t>
  </si>
  <si>
    <t xml:space="preserve">Politique de moindre privilège</t>
  </si>
  <si>
    <t xml:space="preserve">Sur le poste internet, avez-vous des droits administrateur actifs ?</t>
  </si>
  <si>
    <t xml:space="preserve">Vérification du groupe Administrateur local</t>
  </si>
  <si>
    <t xml:space="preserve">Si oui, utilisez-vous ces droits admin pour des tâches personnelles ?</t>
  </si>
  <si>
    <t xml:space="preserve">D</t>
  </si>
  <si>
    <t xml:space="preserve">Emprise / Zones / Bâtiments</t>
  </si>
  <si>
    <t xml:space="preserve">Votre poste de travail est-il positionné de dos ou en vue d'un passage ?</t>
  </si>
  <si>
    <t xml:space="preserve">Position physique observable</t>
  </si>
  <si>
    <t xml:space="preserve">Avez-vous connaissance des zones réglementées de votre bâtiment ?</t>
  </si>
  <si>
    <t xml:space="preserve">Plan d'accès aux zones connu</t>
  </si>
  <si>
    <t xml:space="preserve">Accès physique aux équipements</t>
  </si>
  <si>
    <t xml:space="preserve">Votre écran est-il protégé par un filtre de confidentialité en zone ouverte ?</t>
  </si>
  <si>
    <t xml:space="preserve">Filtre anti-regard installé</t>
  </si>
  <si>
    <t xml:space="preserve">Lockez-vous systématiquement votre session lorsque vous vous absentez ?</t>
  </si>
  <si>
    <t xml:space="preserve">Test : session non verrouillée après absence simulee</t>
  </si>
  <si>
    <t xml:space="preserve">Technique / Observation</t>
  </si>
  <si>
    <t xml:space="preserve">Protection contre le vol</t>
  </si>
  <si>
    <t xml:space="preserve">Emportez-vous régulièrement votre poste hors du bureau sans déclaration ?</t>
  </si>
  <si>
    <t xml:space="preserve">Déclaration utilisateur + registre des sorties</t>
  </si>
  <si>
    <t xml:space="preserve">Le poste est-il ancré ou sécurisé (Kensington lock) ?</t>
  </si>
  <si>
    <t xml:space="preserve">Présence d'un système antivol</t>
  </si>
  <si>
    <t xml:space="preserve">E</t>
  </si>
  <si>
    <t xml:space="preserve">Historique de navigation</t>
  </si>
  <si>
    <t xml:space="preserve">Consultez-vous des sites non professionnels pendant vos horaires de travail ?</t>
  </si>
  <si>
    <t xml:space="preserve">Déclaration utilisateur + inspection historique</t>
  </si>
  <si>
    <t xml:space="preserve">Technique (Script Chrome/Firefox)</t>
  </si>
  <si>
    <t xml:space="preserve">Des sites à risque (torrents, warez, jeu en ligne) figurent-ils dans l'historique ?</t>
  </si>
  <si>
    <t xml:space="preserve">Liste des sites visites / categorisation</t>
  </si>
  <si>
    <t xml:space="preserve">L'historique de navigation est-il régulièrement vidé par l'utilisateur ?</t>
  </si>
  <si>
    <t xml:space="preserve">Comparaison dates création / modification SQLite</t>
  </si>
  <si>
    <t xml:space="preserve">Extensions navigateurs</t>
  </si>
  <si>
    <t xml:space="preserve">Combien d'extensions sont installées sur vos navigateurs ?</t>
  </si>
  <si>
    <t xml:space="preserve">Liste des extensions Firefox / Chrome</t>
  </si>
  <si>
    <t xml:space="preserve">Une extension de type VPN ou proxy non autorisé est-elle présente ?</t>
  </si>
  <si>
    <t xml:space="preserve">Liste des extensions + validation RSSI</t>
  </si>
  <si>
    <t xml:space="preserve">Les extensions installées sont-elles issues de sources officielles ?</t>
  </si>
  <si>
    <t xml:space="preserve">Vérification des depot / manifest.json</t>
  </si>
  <si>
    <t xml:space="preserve">Mises à jour navigateurs</t>
  </si>
  <si>
    <t xml:space="preserve">Votre navigateur est-il à jour (version &lt; 2 versions arrière) ?</t>
  </si>
  <si>
    <t xml:space="preserve">Numéro de version comparé à la dernière release</t>
  </si>
  <si>
    <t xml:space="preserve">Logiciels installés</t>
  </si>
  <si>
    <t xml:space="preserve">Avez-vous installé des logiciels non référencés par le service informatique ?</t>
  </si>
  <si>
    <t xml:space="preserve">Liste programmes installes / comparaison inventaire</t>
  </si>
  <si>
    <t xml:space="preserve">Technique (Script + GLPI)</t>
  </si>
  <si>
    <t xml:space="preserve">Des outils de développement non autorisés sont-ils présents ?</t>
  </si>
  <si>
    <t xml:space="preserve">Liste des IDE / outils detectés</t>
  </si>
  <si>
    <t xml:space="preserve">Un logiciel de bureau à distance non autorisé est-il installé (TeamViewer, AnyDesk…) ?</t>
  </si>
  <si>
    <t xml:space="preserve">Scan des processus / logiciels installes</t>
  </si>
  <si>
    <t xml:space="preserve">Les logiciels installés sont-ils à jour (mises à jour de sécurité) ?</t>
  </si>
  <si>
    <t xml:space="preserve">Comparaison version installee / dernière version</t>
  </si>
  <si>
    <t xml:space="preserve">Périphériques connectés</t>
  </si>
  <si>
    <t xml:space="preserve">Des périphériques non fournis par l'administration sont-ils connectés ?</t>
  </si>
  <si>
    <t xml:space="preserve">Liste des peripheriques (USB, Bluetooth)</t>
  </si>
  <si>
    <t xml:space="preserve">Technique (Script registre)</t>
  </si>
  <si>
    <t xml:space="preserve">Avez-vous connecté une clé USB personnelle sur le poste ?</t>
  </si>
  <si>
    <t xml:space="preserve">Déclaration utilisateur + historique USB</t>
  </si>
  <si>
    <t xml:space="preserve">Avez-vous connecté votre téléphone personnel via USB ?</t>
  </si>
  <si>
    <t xml:space="preserve">Déclaration utilisateur + historique</t>
  </si>
  <si>
    <t xml:space="preserve">F</t>
  </si>
  <si>
    <t xml:space="preserve">Accès au réseau</t>
  </si>
  <si>
    <t xml:space="preserve">Avez-vous accès à Internet depuis le poste restreint ?</t>
  </si>
  <si>
    <t xml:space="preserve">Test de connectivité / proxy bloqué</t>
  </si>
  <si>
    <t xml:space="preserve">Le pare-feu du poste restreint bloque-t-il les connexions sortantes non autorisées ?</t>
  </si>
  <si>
    <t xml:space="preserve">Test de connexion sortante (ports non standards)</t>
  </si>
  <si>
    <t xml:space="preserve">Des sites non autorisés sont-ils accessibles depuis le poste ?</t>
  </si>
  <si>
    <t xml:space="preserve">Test de navigation / filtrage URL</t>
  </si>
  <si>
    <t xml:space="preserve">Restrictions applicatives</t>
  </si>
  <si>
    <t xml:space="preserve">Avez-vous la possibilité d'installer des logiciels sur le poste restreint ?</t>
  </si>
  <si>
    <t xml:space="preserve">Test d'installation (non realiser) + verification droits</t>
  </si>
  <si>
    <t xml:space="preserve">Des outils non nécessaires à votre mission sont-ils présents sur le poste ?</t>
  </si>
  <si>
    <t xml:space="preserve">Liste des logiciels installes / whitelist</t>
  </si>
  <si>
    <t xml:space="preserve">G</t>
  </si>
  <si>
    <t xml:space="preserve">Classification des données</t>
  </si>
  <si>
    <t xml:space="preserve">Savez-vous à quel niveau de classification appartient votre travail ?</t>
  </si>
  <si>
    <t xml:space="preserve">Déclaration correcte du niveau de classification</t>
  </si>
  <si>
    <t xml:space="preserve">Stockez-vous des données classifiées sur des supports non sécurisés ?</t>
  </si>
  <si>
    <t xml:space="preserve">Inspection des repertoires + support USB</t>
  </si>
  <si>
    <t xml:space="preserve">Technique / Inspection physique</t>
  </si>
  <si>
    <t xml:space="preserve">Stockage et chiffrement</t>
  </si>
  <si>
    <t xml:space="preserve">Les données sensibles sont-elles stockées sur des lecteurs chiffrés ?</t>
  </si>
  <si>
    <t xml:space="preserve">Vérification BitLocker / LUKS activé</t>
  </si>
  <si>
    <t xml:space="preserve">Des données sensibles sont-elles stockées sur le disque local (non serveur) ?</t>
  </si>
  <si>
    <t xml:space="preserve">Inspection des dossiers utilisateur</t>
  </si>
  <si>
    <t xml:space="preserve">Avez-vous copié des données sur un support externe (clé, disque) ?</t>
  </si>
  <si>
    <t xml:space="preserve">Historique USB + declaration utilisateur</t>
  </si>
  <si>
    <t xml:space="preserve">Technique (Script) / Entretien</t>
  </si>
  <si>
    <t xml:space="preserve">Transmission de données</t>
  </si>
  <si>
    <t xml:space="preserve">Utilisez-vous des services de messagerie non officiels pour envoyer des données ?</t>
  </si>
  <si>
    <t xml:space="preserve">Déclaration utilisateur + inspection proxy logs</t>
  </si>
  <si>
    <t xml:space="preserve">Technique / Entretien</t>
  </si>
  <si>
    <t xml:space="preserve">Avez-vous envoyé des pièces jointes sensibles par email personnel ?</t>
  </si>
  <si>
    <t xml:space="preserve">Utilisez-vous des services de cloud personnel (Dropbox, Google Drive) ?</t>
  </si>
  <si>
    <t xml:space="preserve">Inspection processus + proxy / Cloud</t>
  </si>
  <si>
    <t xml:space="preserve">H</t>
  </si>
  <si>
    <t xml:space="preserve">Détection et signalement</t>
  </si>
  <si>
    <t xml:space="preserve">Savez-vous comment signaler un incident de sécurité ?</t>
  </si>
  <si>
    <t xml:space="preserve">Connaissance du procedure de signalement</t>
  </si>
  <si>
    <t xml:space="preserve">Avez-vous déjà constaté un comportement suspect sur votre poste ?</t>
  </si>
  <si>
    <t xml:space="preserve">Déclaration + journal d'incident associe</t>
  </si>
  <si>
    <t xml:space="preserve">Connaissez-vous le délai imparti pour signaler un incident ?</t>
  </si>
  <si>
    <t xml:space="preserve">Référence correcte a la procédure</t>
  </si>
  <si>
    <t xml:space="preserve">Réponse aux incidents</t>
  </si>
  <si>
    <t xml:space="preserve">Avez-vous deja été confronté à un blocage ou une infection sur votre poste ?</t>
  </si>
  <si>
    <t xml:space="preserve">Rapport d'incident archive</t>
  </si>
  <si>
    <t xml:space="preserve">Les outils de détection (antivirus, EDR) sont-ils actifs sur votre poste ?</t>
  </si>
  <si>
    <t xml:space="preserve">Vérification de l'etat des agents de sécurité</t>
  </si>
  <si>
    <t xml:space="preserve">Les alertes antivirus / EDR sont-elles consultables par le RSSI ?</t>
  </si>
  <si>
    <t xml:space="preserve">Accès console централизованное</t>
  </si>
  <si>
    <t xml:space="preserve">I</t>
  </si>
  <si>
    <t xml:space="preserve">Formation SSI</t>
  </si>
  <si>
    <t xml:space="preserve">Avez-vous suivi une formation SSI au cours des 12 derniers mois ?</t>
  </si>
  <si>
    <t xml:space="preserve">Attestation de formation</t>
  </si>
  <si>
    <t xml:space="preserve">Vérification RH</t>
  </si>
  <si>
    <t xml:space="preserve">Êtes-vous informé des dernières menaces (phishing, ransomware…) ?</t>
  </si>
  <si>
    <t xml:space="preserve">Participation a des campagnes de simulation</t>
  </si>
  <si>
    <t xml:space="preserve">Savez-vous reconnaître une tentative de phishing ?</t>
  </si>
  <si>
    <t xml:space="preserve">Test de sensibilisation + réponse</t>
  </si>
  <si>
    <t xml:space="preserve">Entretien / Simulation</t>
  </si>
  <si>
    <t xml:space="preserve">Sensibilisation continue</t>
  </si>
  <si>
    <t xml:space="preserve">Recevez-vous des communications SSI régulières (mail, affiche, briefing) ?</t>
  </si>
  <si>
    <t xml:space="preserve">Existence de communications archivées</t>
  </si>
  <si>
    <t xml:space="preserve">Un rappel des règles de sécurité est-il affiché près de votre poste ?</t>
  </si>
  <si>
    <t xml:space="preserve">Presence physique de l'affichage</t>
  </si>
  <si>
    <t xml:space="preserve">J</t>
  </si>
  <si>
    <t xml:space="preserve">Plan de Continuité (PCA)</t>
  </si>
  <si>
    <t xml:space="preserve">Connaissez-vous les procédures à suivre en cas d'indisponibilité de vos outils ?</t>
  </si>
  <si>
    <t xml:space="preserve">Référence au PCA applicable</t>
  </si>
  <si>
    <t xml:space="preserve">Avez-vous des sauvegardes de vos données de travail sur un serveur ou cloud interne ?</t>
  </si>
  <si>
    <t xml:space="preserve">Existence de repertoires sauvegardes</t>
  </si>
  <si>
    <t xml:space="preserve">Savez-vous comment restaurer une version antérieure d'un document ?</t>
  </si>
  <si>
    <t xml:space="preserve">Déclaration + test de restauration</t>
  </si>
  <si>
    <t xml:space="preserve">Sauvegardes</t>
  </si>
  <si>
    <t xml:space="preserve">Vos sauvegardes sont-elles automatisées ou manuelles ?</t>
  </si>
  <si>
    <t xml:space="preserve">Configuration du plan de sauvegarde</t>
  </si>
  <si>
    <t xml:space="preserve">La restauration des sauvegardes est-elle testée périodiquement ?</t>
  </si>
  <si>
    <t xml:space="preserve">Rapport de test de restauration</t>
  </si>
  <si>
    <t xml:space="preserve">K</t>
  </si>
  <si>
    <t xml:space="preserve">RGPD / Protection des données personnelles</t>
  </si>
  <si>
    <t xml:space="preserve">Savez-vous ce qu'est une donnée personnelle au sens du RGPD ?</t>
  </si>
  <si>
    <t xml:space="preserve">Définition correcte des donnees a caractère personnel</t>
  </si>
  <si>
    <t xml:space="preserve">Avez-vous des données personnelles sur votre poste de travail ?</t>
  </si>
  <si>
    <t xml:space="preserve">Déclaration + inventaire des fichiers</t>
  </si>
  <si>
    <t xml:space="preserve">Avez-vous été sensibilisé au RGPD (formation, note interne) ?</t>
  </si>
  <si>
    <t xml:space="preserve">Attestation ou signature de la Charte RGPD</t>
  </si>
  <si>
    <t xml:space="preserve">Connaissez-vous la procédure à suivre en cas de fuite de données personnelles ?</t>
  </si>
  <si>
    <t xml:space="preserve">Référence à la procedure DPO / RSSI</t>
  </si>
  <si>
    <t xml:space="preserve">Obligations légales</t>
  </si>
  <si>
    <t xml:space="preserve">Connaissez-vous les risques juridiques liés à l'utilisation abusive des SI ?</t>
  </si>
  <si>
    <t xml:space="preserve">Compréhension des sanctions possibles</t>
  </si>
  <si>
    <t xml:space="preserve">Avez-vous signé la Charte Informatique / politique de sécurité ?</t>
  </si>
  <si>
    <t xml:space="preserve">Document signé archivé</t>
  </si>
  <si>
    <t xml:space="preserve">Vérification administrative</t>
  </si>
  <si>
    <t xml:space="preserve">Gestion des sous-traitants</t>
  </si>
  <si>
    <t xml:space="preserve">Si vous travaillez avec des prestataires, savez-vous comment vérifier leur accès ?</t>
  </si>
  <si>
    <t xml:space="preserve">Connaissance de la procedure de contrôle acces</t>
  </si>
  <si>
    <t xml:space="preserve">Les postes de prestataires sont-ils séparés des postes internes ?</t>
  </si>
  <si>
    <t xml:space="preserve">Vérification VLAN / politique de séparation</t>
  </si>
  <si>
    <t xml:space="preserve">Nb Questions</t>
  </si>
  <si>
    <t xml:space="preserve">Nb Non</t>
  </si>
  <si>
    <t xml:space="preserve">Nb Partiel</t>
  </si>
  <si>
    <t xml:space="preserve">Nb Oui</t>
  </si>
  <si>
    <t xml:space="preserve">Nb N/A</t>
  </si>
  <si>
    <t xml:space="preserve">Taux Conformité (%)</t>
  </si>
  <si>
    <t xml:space="preserve">Score Total</t>
  </si>
  <si>
    <t xml:space="preserve">Score Max</t>
  </si>
  <si>
    <t xml:space="preserve">Score Moyen</t>
  </si>
  <si>
    <t xml:space="preserve">A - Organisation de la sécurité numérique</t>
  </si>
  <si>
    <t xml:space="preserve">B - Gestion des ISC numériques</t>
  </si>
  <si>
    <t xml:space="preserve">C - Gestion des accès</t>
  </si>
  <si>
    <t xml:space="preserve">D - Protection physique</t>
  </si>
  <si>
    <t xml:space="preserve">E - Postes Internet</t>
  </si>
  <si>
    <t xml:space="preserve">F - Postes Restreints</t>
  </si>
  <si>
    <t xml:space="preserve">G - Protection des données</t>
  </si>
  <si>
    <t xml:space="preserve">H - Gestion des incidents</t>
  </si>
  <si>
    <t xml:space="preserve">I - Sensibilisation et formation</t>
  </si>
  <si>
    <t xml:space="preserve">J - Continuité d'activité</t>
  </si>
  <si>
    <t xml:space="preserve">K - Conformité réglementaire</t>
  </si>
  <si>
    <t xml:space="preserve">TOTAL GÉNÉRAL</t>
  </si>
  <si>
    <t xml:space="preserve">INDICATEURS CLÉS</t>
  </si>
  <si>
    <t xml:space="preserve">Score global (sur 2)</t>
  </si>
  <si>
    <t xml:space="preserve">Taux de conformité global</t>
  </si>
  <si>
    <t xml:space="preserve">Nombre de Non conformités majeures</t>
  </si>
  <si>
    <t xml:space="preserve">Nombre de conformités partielles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</si>
</sst>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.00"/>
    <numFmt numFmtId="167" formatCode="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833C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833C00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3864"/>
        <bgColor rgb="FF333399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DEEAF1"/>
        <bgColor rgb="FFE2EFDA"/>
      </patternFill>
    </fill>
    <fill>
      <patternFill patternType="solid">
        <fgColor rgb="FFF4CCFF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833C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DEEAF1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4CCFF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F4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62"/>
    <col collapsed="false" customWidth="true" hidden="false" outlineLevel="0" max="4" min="4" style="0" width="45"/>
    <col collapsed="false" customWidth="true" hidden="false" outlineLevel="0" max="5" min="5" style="0" width="28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8" min="8" style="0" width="38"/>
    <col collapsed="false" customWidth="true" hidden="false" outlineLevel="0" max="9" min="9" style="0" width="14"/>
    <col collapsed="false" customWidth="true" hidden="false" outlineLevel="0" max="10" min="10" style="0" width="22"/>
    <col collapsed="false" customWidth="true" hidden="false" outlineLevel="0" max="11" min="11" style="0" width="1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5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customFormat="false" ht="51.75" hidden="false" customHeight="true" outlineLevel="0" collapsed="false">
      <c r="A3" s="3" t="s">
        <v>12</v>
      </c>
      <c r="B3" s="4" t="s">
        <v>13</v>
      </c>
      <c r="C3" s="5" t="s">
        <v>14</v>
      </c>
      <c r="D3" s="5" t="s">
        <v>15</v>
      </c>
      <c r="E3" s="5" t="s">
        <v>16</v>
      </c>
      <c r="F3" s="6" t="s">
        <v>17</v>
      </c>
      <c r="G3" s="7"/>
      <c r="H3" s="7"/>
      <c r="I3" s="8"/>
      <c r="J3" s="7"/>
      <c r="K3" s="7"/>
    </row>
    <row r="4" customFormat="false" ht="51.75" hidden="false" customHeight="true" outlineLevel="0" collapsed="false">
      <c r="A4" s="3" t="s">
        <v>12</v>
      </c>
      <c r="B4" s="4" t="s">
        <v>13</v>
      </c>
      <c r="C4" s="5" t="s">
        <v>18</v>
      </c>
      <c r="D4" s="5" t="s">
        <v>19</v>
      </c>
      <c r="E4" s="5" t="s">
        <v>16</v>
      </c>
      <c r="F4" s="6" t="s">
        <v>17</v>
      </c>
      <c r="G4" s="7"/>
      <c r="H4" s="7"/>
      <c r="I4" s="8"/>
      <c r="J4" s="7"/>
      <c r="K4" s="7"/>
    </row>
    <row r="5" customFormat="false" ht="51.75" hidden="false" customHeight="true" outlineLevel="0" collapsed="false">
      <c r="A5" s="3" t="s">
        <v>12</v>
      </c>
      <c r="B5" s="4" t="s">
        <v>13</v>
      </c>
      <c r="C5" s="5" t="s">
        <v>20</v>
      </c>
      <c r="D5" s="5" t="s">
        <v>21</v>
      </c>
      <c r="E5" s="5" t="s">
        <v>16</v>
      </c>
      <c r="F5" s="9" t="s">
        <v>22</v>
      </c>
      <c r="G5" s="7"/>
      <c r="H5" s="7"/>
      <c r="I5" s="8"/>
      <c r="J5" s="7"/>
      <c r="K5" s="7"/>
    </row>
    <row r="6" customFormat="false" ht="51.75" hidden="false" customHeight="true" outlineLevel="0" collapsed="false">
      <c r="A6" s="3" t="s">
        <v>12</v>
      </c>
      <c r="B6" s="4" t="s">
        <v>23</v>
      </c>
      <c r="C6" s="5" t="s">
        <v>24</v>
      </c>
      <c r="D6" s="5" t="s">
        <v>25</v>
      </c>
      <c r="E6" s="5" t="s">
        <v>16</v>
      </c>
      <c r="F6" s="6" t="s">
        <v>17</v>
      </c>
      <c r="G6" s="7"/>
      <c r="H6" s="7"/>
      <c r="I6" s="8"/>
      <c r="J6" s="7"/>
      <c r="K6" s="7"/>
    </row>
    <row r="7" customFormat="false" ht="51.75" hidden="false" customHeight="true" outlineLevel="0" collapsed="false">
      <c r="A7" s="3" t="s">
        <v>12</v>
      </c>
      <c r="B7" s="4" t="s">
        <v>23</v>
      </c>
      <c r="C7" s="5" t="s">
        <v>26</v>
      </c>
      <c r="D7" s="5" t="s">
        <v>27</v>
      </c>
      <c r="E7" s="5" t="s">
        <v>28</v>
      </c>
      <c r="F7" s="9" t="s">
        <v>22</v>
      </c>
      <c r="G7" s="7"/>
      <c r="H7" s="7"/>
      <c r="I7" s="8"/>
      <c r="J7" s="7"/>
      <c r="K7" s="7"/>
    </row>
    <row r="8" customFormat="false" ht="51.75" hidden="false" customHeight="true" outlineLevel="0" collapsed="false">
      <c r="A8" s="3" t="s">
        <v>12</v>
      </c>
      <c r="B8" s="4" t="s">
        <v>23</v>
      </c>
      <c r="C8" s="5" t="s">
        <v>29</v>
      </c>
      <c r="D8" s="5" t="s">
        <v>30</v>
      </c>
      <c r="E8" s="5" t="s">
        <v>16</v>
      </c>
      <c r="F8" s="6" t="s">
        <v>17</v>
      </c>
      <c r="G8" s="7"/>
      <c r="H8" s="7"/>
      <c r="I8" s="8"/>
      <c r="J8" s="7"/>
      <c r="K8" s="7"/>
    </row>
    <row r="9" customFormat="false" ht="51.75" hidden="false" customHeight="true" outlineLevel="0" collapsed="false">
      <c r="A9" s="3" t="s">
        <v>12</v>
      </c>
      <c r="B9" s="4" t="s">
        <v>31</v>
      </c>
      <c r="C9" s="5" t="s">
        <v>32</v>
      </c>
      <c r="D9" s="5" t="s">
        <v>33</v>
      </c>
      <c r="E9" s="5" t="s">
        <v>16</v>
      </c>
      <c r="F9" s="6" t="s">
        <v>17</v>
      </c>
      <c r="G9" s="7"/>
      <c r="H9" s="7"/>
      <c r="I9" s="8"/>
      <c r="J9" s="7"/>
      <c r="K9" s="7"/>
    </row>
    <row r="10" customFormat="false" ht="51.75" hidden="false" customHeight="true" outlineLevel="0" collapsed="false">
      <c r="A10" s="3" t="s">
        <v>12</v>
      </c>
      <c r="B10" s="4" t="s">
        <v>31</v>
      </c>
      <c r="C10" s="5" t="s">
        <v>34</v>
      </c>
      <c r="D10" s="5" t="s">
        <v>35</v>
      </c>
      <c r="E10" s="5" t="s">
        <v>16</v>
      </c>
      <c r="F10" s="9" t="s">
        <v>22</v>
      </c>
      <c r="G10" s="7"/>
      <c r="H10" s="7"/>
      <c r="I10" s="8"/>
      <c r="J10" s="7"/>
      <c r="K10" s="7"/>
    </row>
    <row r="11" customFormat="false" ht="51.75" hidden="false" customHeight="true" outlineLevel="0" collapsed="false">
      <c r="A11" s="3" t="s">
        <v>12</v>
      </c>
      <c r="B11" s="4" t="s">
        <v>36</v>
      </c>
      <c r="C11" s="5" t="s">
        <v>37</v>
      </c>
      <c r="D11" s="5" t="s">
        <v>38</v>
      </c>
      <c r="E11" s="5" t="s">
        <v>16</v>
      </c>
      <c r="F11" s="10" t="s">
        <v>39</v>
      </c>
      <c r="G11" s="7"/>
      <c r="H11" s="7"/>
      <c r="I11" s="8"/>
      <c r="J11" s="7"/>
      <c r="K11" s="7"/>
    </row>
    <row r="12" customFormat="false" ht="51.75" hidden="false" customHeight="true" outlineLevel="0" collapsed="false">
      <c r="A12" s="3" t="s">
        <v>12</v>
      </c>
      <c r="B12" s="4" t="s">
        <v>36</v>
      </c>
      <c r="C12" s="5" t="s">
        <v>40</v>
      </c>
      <c r="D12" s="5" t="s">
        <v>41</v>
      </c>
      <c r="E12" s="5" t="s">
        <v>42</v>
      </c>
      <c r="F12" s="9" t="s">
        <v>22</v>
      </c>
      <c r="G12" s="7"/>
      <c r="H12" s="7"/>
      <c r="I12" s="8"/>
      <c r="J12" s="7"/>
      <c r="K12" s="7"/>
    </row>
    <row r="13" customFormat="false" ht="51.75" hidden="false" customHeight="true" outlineLevel="0" collapsed="false">
      <c r="A13" s="3" t="s">
        <v>43</v>
      </c>
      <c r="B13" s="4" t="s">
        <v>44</v>
      </c>
      <c r="C13" s="5" t="s">
        <v>45</v>
      </c>
      <c r="D13" s="5" t="s">
        <v>46</v>
      </c>
      <c r="E13" s="5" t="s">
        <v>47</v>
      </c>
      <c r="F13" s="6" t="s">
        <v>17</v>
      </c>
      <c r="G13" s="11"/>
      <c r="H13" s="11"/>
      <c r="I13" s="12"/>
      <c r="J13" s="11"/>
      <c r="K13" s="11"/>
    </row>
    <row r="14" customFormat="false" ht="51.75" hidden="false" customHeight="true" outlineLevel="0" collapsed="false">
      <c r="A14" s="3" t="s">
        <v>43</v>
      </c>
      <c r="B14" s="4" t="s">
        <v>44</v>
      </c>
      <c r="C14" s="5" t="s">
        <v>48</v>
      </c>
      <c r="D14" s="5" t="s">
        <v>49</v>
      </c>
      <c r="E14" s="5" t="s">
        <v>50</v>
      </c>
      <c r="F14" s="6" t="s">
        <v>17</v>
      </c>
      <c r="G14" s="11"/>
      <c r="H14" s="11"/>
      <c r="I14" s="12"/>
      <c r="J14" s="11"/>
      <c r="K14" s="11"/>
    </row>
    <row r="15" customFormat="false" ht="51.75" hidden="false" customHeight="true" outlineLevel="0" collapsed="false">
      <c r="A15" s="3" t="s">
        <v>43</v>
      </c>
      <c r="B15" s="4" t="s">
        <v>44</v>
      </c>
      <c r="C15" s="5" t="s">
        <v>51</v>
      </c>
      <c r="D15" s="5" t="s">
        <v>52</v>
      </c>
      <c r="E15" s="5" t="s">
        <v>16</v>
      </c>
      <c r="F15" s="6" t="s">
        <v>17</v>
      </c>
      <c r="G15" s="11"/>
      <c r="H15" s="11"/>
      <c r="I15" s="12"/>
      <c r="J15" s="11"/>
      <c r="K15" s="11"/>
    </row>
    <row r="16" customFormat="false" ht="51.75" hidden="false" customHeight="true" outlineLevel="0" collapsed="false">
      <c r="A16" s="3" t="s">
        <v>43</v>
      </c>
      <c r="B16" s="4" t="s">
        <v>44</v>
      </c>
      <c r="C16" s="5" t="s">
        <v>53</v>
      </c>
      <c r="D16" s="5" t="s">
        <v>54</v>
      </c>
      <c r="E16" s="5" t="s">
        <v>16</v>
      </c>
      <c r="F16" s="6" t="s">
        <v>17</v>
      </c>
      <c r="G16" s="11"/>
      <c r="H16" s="11"/>
      <c r="I16" s="12"/>
      <c r="J16" s="11"/>
      <c r="K16" s="11"/>
    </row>
    <row r="17" customFormat="false" ht="51.75" hidden="false" customHeight="true" outlineLevel="0" collapsed="false">
      <c r="A17" s="3" t="s">
        <v>55</v>
      </c>
      <c r="B17" s="4" t="s">
        <v>56</v>
      </c>
      <c r="C17" s="5" t="s">
        <v>57</v>
      </c>
      <c r="D17" s="5" t="s">
        <v>58</v>
      </c>
      <c r="E17" s="5" t="s">
        <v>59</v>
      </c>
      <c r="F17" s="6" t="s">
        <v>17</v>
      </c>
      <c r="G17" s="13"/>
      <c r="H17" s="13"/>
      <c r="I17" s="14"/>
      <c r="J17" s="13"/>
      <c r="K17" s="13"/>
    </row>
    <row r="18" customFormat="false" ht="51.75" hidden="false" customHeight="true" outlineLevel="0" collapsed="false">
      <c r="A18" s="3" t="s">
        <v>55</v>
      </c>
      <c r="B18" s="4" t="s">
        <v>56</v>
      </c>
      <c r="C18" s="5" t="s">
        <v>60</v>
      </c>
      <c r="D18" s="5" t="s">
        <v>61</v>
      </c>
      <c r="E18" s="5" t="s">
        <v>59</v>
      </c>
      <c r="F18" s="6" t="s">
        <v>17</v>
      </c>
      <c r="G18" s="13"/>
      <c r="H18" s="13"/>
      <c r="I18" s="14"/>
      <c r="J18" s="13"/>
      <c r="K18" s="13"/>
    </row>
    <row r="19" customFormat="false" ht="51.75" hidden="false" customHeight="true" outlineLevel="0" collapsed="false">
      <c r="A19" s="3" t="s">
        <v>55</v>
      </c>
      <c r="B19" s="4" t="s">
        <v>56</v>
      </c>
      <c r="C19" s="5" t="s">
        <v>62</v>
      </c>
      <c r="D19" s="5" t="s">
        <v>63</v>
      </c>
      <c r="E19" s="5" t="s">
        <v>59</v>
      </c>
      <c r="F19" s="6" t="s">
        <v>17</v>
      </c>
      <c r="G19" s="13"/>
      <c r="H19" s="13"/>
      <c r="I19" s="14"/>
      <c r="J19" s="13"/>
      <c r="K19" s="13"/>
    </row>
    <row r="20" customFormat="false" ht="51.75" hidden="false" customHeight="true" outlineLevel="0" collapsed="false">
      <c r="A20" s="3" t="s">
        <v>55</v>
      </c>
      <c r="B20" s="4" t="s">
        <v>56</v>
      </c>
      <c r="C20" s="5" t="s">
        <v>64</v>
      </c>
      <c r="D20" s="5" t="s">
        <v>65</v>
      </c>
      <c r="E20" s="5" t="s">
        <v>16</v>
      </c>
      <c r="F20" s="9" t="s">
        <v>22</v>
      </c>
      <c r="G20" s="13"/>
      <c r="H20" s="13"/>
      <c r="I20" s="14"/>
      <c r="J20" s="13"/>
      <c r="K20" s="13"/>
    </row>
    <row r="21" customFormat="false" ht="51.75" hidden="false" customHeight="true" outlineLevel="0" collapsed="false">
      <c r="A21" s="3" t="s">
        <v>55</v>
      </c>
      <c r="B21" s="4" t="s">
        <v>66</v>
      </c>
      <c r="C21" s="5" t="s">
        <v>67</v>
      </c>
      <c r="D21" s="5" t="s">
        <v>68</v>
      </c>
      <c r="E21" s="5" t="s">
        <v>16</v>
      </c>
      <c r="F21" s="6" t="s">
        <v>17</v>
      </c>
      <c r="G21" s="13"/>
      <c r="H21" s="13"/>
      <c r="I21" s="14"/>
      <c r="J21" s="13"/>
      <c r="K21" s="13"/>
    </row>
    <row r="22" customFormat="false" ht="51.75" hidden="false" customHeight="true" outlineLevel="0" collapsed="false">
      <c r="A22" s="3" t="s">
        <v>55</v>
      </c>
      <c r="B22" s="4" t="s">
        <v>66</v>
      </c>
      <c r="C22" s="5" t="s">
        <v>69</v>
      </c>
      <c r="D22" s="5" t="s">
        <v>70</v>
      </c>
      <c r="E22" s="5" t="s">
        <v>71</v>
      </c>
      <c r="F22" s="6" t="s">
        <v>17</v>
      </c>
      <c r="G22" s="13"/>
      <c r="H22" s="13"/>
      <c r="I22" s="14"/>
      <c r="J22" s="13"/>
      <c r="K22" s="13"/>
    </row>
    <row r="23" customFormat="false" ht="51.75" hidden="false" customHeight="true" outlineLevel="0" collapsed="false">
      <c r="A23" s="3" t="s">
        <v>55</v>
      </c>
      <c r="B23" s="4" t="s">
        <v>66</v>
      </c>
      <c r="C23" s="5" t="s">
        <v>72</v>
      </c>
      <c r="D23" s="5" t="s">
        <v>73</v>
      </c>
      <c r="E23" s="5" t="s">
        <v>74</v>
      </c>
      <c r="F23" s="6" t="s">
        <v>17</v>
      </c>
      <c r="G23" s="13"/>
      <c r="H23" s="13"/>
      <c r="I23" s="14"/>
      <c r="J23" s="13"/>
      <c r="K23" s="13"/>
    </row>
    <row r="24" customFormat="false" ht="51.75" hidden="false" customHeight="true" outlineLevel="0" collapsed="false">
      <c r="A24" s="3" t="s">
        <v>55</v>
      </c>
      <c r="B24" s="4" t="s">
        <v>75</v>
      </c>
      <c r="C24" s="5" t="s">
        <v>76</v>
      </c>
      <c r="D24" s="5" t="s">
        <v>77</v>
      </c>
      <c r="E24" s="5" t="s">
        <v>59</v>
      </c>
      <c r="F24" s="6" t="s">
        <v>17</v>
      </c>
      <c r="G24" s="13"/>
      <c r="H24" s="13"/>
      <c r="I24" s="14"/>
      <c r="J24" s="13"/>
      <c r="K24" s="13"/>
    </row>
    <row r="25" customFormat="false" ht="51.75" hidden="false" customHeight="true" outlineLevel="0" collapsed="false">
      <c r="A25" s="3" t="s">
        <v>55</v>
      </c>
      <c r="B25" s="4" t="s">
        <v>75</v>
      </c>
      <c r="C25" s="5" t="s">
        <v>78</v>
      </c>
      <c r="D25" s="5" t="s">
        <v>65</v>
      </c>
      <c r="E25" s="5" t="s">
        <v>16</v>
      </c>
      <c r="F25" s="6" t="s">
        <v>17</v>
      </c>
      <c r="G25" s="13"/>
      <c r="H25" s="13"/>
      <c r="I25" s="14"/>
      <c r="J25" s="13"/>
      <c r="K25" s="13"/>
    </row>
    <row r="26" customFormat="false" ht="51.75" hidden="false" customHeight="true" outlineLevel="0" collapsed="false">
      <c r="A26" s="3" t="s">
        <v>79</v>
      </c>
      <c r="B26" s="4" t="s">
        <v>80</v>
      </c>
      <c r="C26" s="5" t="s">
        <v>81</v>
      </c>
      <c r="D26" s="5" t="s">
        <v>82</v>
      </c>
      <c r="E26" s="5" t="s">
        <v>50</v>
      </c>
      <c r="F26" s="9" t="s">
        <v>22</v>
      </c>
      <c r="G26" s="15"/>
      <c r="H26" s="15"/>
      <c r="I26" s="16"/>
      <c r="J26" s="15"/>
      <c r="K26" s="15"/>
    </row>
    <row r="27" customFormat="false" ht="51.75" hidden="false" customHeight="true" outlineLevel="0" collapsed="false">
      <c r="A27" s="3" t="s">
        <v>79</v>
      </c>
      <c r="B27" s="4" t="s">
        <v>80</v>
      </c>
      <c r="C27" s="5" t="s">
        <v>83</v>
      </c>
      <c r="D27" s="5" t="s">
        <v>84</v>
      </c>
      <c r="E27" s="5" t="s">
        <v>16</v>
      </c>
      <c r="F27" s="9" t="s">
        <v>22</v>
      </c>
      <c r="G27" s="15"/>
      <c r="H27" s="15"/>
      <c r="I27" s="16"/>
      <c r="J27" s="15"/>
      <c r="K27" s="15"/>
    </row>
    <row r="28" customFormat="false" ht="51.75" hidden="false" customHeight="true" outlineLevel="0" collapsed="false">
      <c r="A28" s="3" t="s">
        <v>79</v>
      </c>
      <c r="B28" s="4" t="s">
        <v>85</v>
      </c>
      <c r="C28" s="5" t="s">
        <v>86</v>
      </c>
      <c r="D28" s="5" t="s">
        <v>87</v>
      </c>
      <c r="E28" s="5" t="s">
        <v>50</v>
      </c>
      <c r="F28" s="9" t="s">
        <v>22</v>
      </c>
      <c r="G28" s="15"/>
      <c r="H28" s="15"/>
      <c r="I28" s="16"/>
      <c r="J28" s="15"/>
      <c r="K28" s="15"/>
    </row>
    <row r="29" customFormat="false" ht="51.75" hidden="false" customHeight="true" outlineLevel="0" collapsed="false">
      <c r="A29" s="3" t="s">
        <v>79</v>
      </c>
      <c r="B29" s="4" t="s">
        <v>85</v>
      </c>
      <c r="C29" s="5" t="s">
        <v>88</v>
      </c>
      <c r="D29" s="5" t="s">
        <v>89</v>
      </c>
      <c r="E29" s="5" t="s">
        <v>90</v>
      </c>
      <c r="F29" s="6" t="s">
        <v>17</v>
      </c>
      <c r="G29" s="15"/>
      <c r="H29" s="15"/>
      <c r="I29" s="16"/>
      <c r="J29" s="15"/>
      <c r="K29" s="15"/>
    </row>
    <row r="30" customFormat="false" ht="51.75" hidden="false" customHeight="true" outlineLevel="0" collapsed="false">
      <c r="A30" s="3" t="s">
        <v>79</v>
      </c>
      <c r="B30" s="4" t="s">
        <v>91</v>
      </c>
      <c r="C30" s="5" t="s">
        <v>92</v>
      </c>
      <c r="D30" s="5" t="s">
        <v>93</v>
      </c>
      <c r="E30" s="5" t="s">
        <v>16</v>
      </c>
      <c r="F30" s="9" t="s">
        <v>22</v>
      </c>
      <c r="G30" s="15"/>
      <c r="H30" s="15"/>
      <c r="I30" s="16"/>
      <c r="J30" s="15"/>
      <c r="K30" s="15"/>
    </row>
    <row r="31" customFormat="false" ht="51.75" hidden="false" customHeight="true" outlineLevel="0" collapsed="false">
      <c r="A31" s="3" t="s">
        <v>79</v>
      </c>
      <c r="B31" s="4" t="s">
        <v>91</v>
      </c>
      <c r="C31" s="5" t="s">
        <v>94</v>
      </c>
      <c r="D31" s="5" t="s">
        <v>95</v>
      </c>
      <c r="E31" s="5" t="s">
        <v>50</v>
      </c>
      <c r="F31" s="10" t="s">
        <v>39</v>
      </c>
      <c r="G31" s="15"/>
      <c r="H31" s="15"/>
      <c r="I31" s="16"/>
      <c r="J31" s="15"/>
      <c r="K31" s="15"/>
    </row>
    <row r="32" customFormat="false" ht="51.75" hidden="false" customHeight="true" outlineLevel="0" collapsed="false">
      <c r="A32" s="3" t="s">
        <v>96</v>
      </c>
      <c r="B32" s="4" t="s">
        <v>97</v>
      </c>
      <c r="C32" s="5" t="s">
        <v>98</v>
      </c>
      <c r="D32" s="5" t="s">
        <v>99</v>
      </c>
      <c r="E32" s="5" t="s">
        <v>100</v>
      </c>
      <c r="F32" s="9" t="s">
        <v>22</v>
      </c>
      <c r="G32" s="7"/>
      <c r="H32" s="7"/>
      <c r="I32" s="8"/>
      <c r="J32" s="7"/>
      <c r="K32" s="7"/>
    </row>
    <row r="33" customFormat="false" ht="51.75" hidden="false" customHeight="true" outlineLevel="0" collapsed="false">
      <c r="A33" s="3" t="s">
        <v>96</v>
      </c>
      <c r="B33" s="4" t="s">
        <v>97</v>
      </c>
      <c r="C33" s="5" t="s">
        <v>101</v>
      </c>
      <c r="D33" s="5" t="s">
        <v>102</v>
      </c>
      <c r="E33" s="5" t="s">
        <v>74</v>
      </c>
      <c r="F33" s="6" t="s">
        <v>17</v>
      </c>
      <c r="G33" s="7"/>
      <c r="H33" s="7"/>
      <c r="I33" s="8"/>
      <c r="J33" s="7"/>
      <c r="K33" s="7"/>
    </row>
    <row r="34" customFormat="false" ht="51.75" hidden="false" customHeight="true" outlineLevel="0" collapsed="false">
      <c r="A34" s="3" t="s">
        <v>96</v>
      </c>
      <c r="B34" s="4" t="s">
        <v>97</v>
      </c>
      <c r="C34" s="5" t="s">
        <v>103</v>
      </c>
      <c r="D34" s="5" t="s">
        <v>104</v>
      </c>
      <c r="E34" s="5" t="s">
        <v>59</v>
      </c>
      <c r="F34" s="9" t="s">
        <v>22</v>
      </c>
      <c r="G34" s="7"/>
      <c r="H34" s="7"/>
      <c r="I34" s="8"/>
      <c r="J34" s="7"/>
      <c r="K34" s="7"/>
    </row>
    <row r="35" customFormat="false" ht="51.75" hidden="false" customHeight="true" outlineLevel="0" collapsed="false">
      <c r="A35" s="3" t="s">
        <v>96</v>
      </c>
      <c r="B35" s="4" t="s">
        <v>105</v>
      </c>
      <c r="C35" s="5" t="s">
        <v>106</v>
      </c>
      <c r="D35" s="5" t="s">
        <v>107</v>
      </c>
      <c r="E35" s="5" t="s">
        <v>74</v>
      </c>
      <c r="F35" s="6" t="s">
        <v>17</v>
      </c>
      <c r="G35" s="7"/>
      <c r="H35" s="7"/>
      <c r="I35" s="8"/>
      <c r="J35" s="7"/>
      <c r="K35" s="7"/>
    </row>
    <row r="36" customFormat="false" ht="51.75" hidden="false" customHeight="true" outlineLevel="0" collapsed="false">
      <c r="A36" s="3" t="s">
        <v>96</v>
      </c>
      <c r="B36" s="4" t="s">
        <v>105</v>
      </c>
      <c r="C36" s="5" t="s">
        <v>108</v>
      </c>
      <c r="D36" s="5" t="s">
        <v>109</v>
      </c>
      <c r="E36" s="5" t="s">
        <v>74</v>
      </c>
      <c r="F36" s="6" t="s">
        <v>17</v>
      </c>
      <c r="G36" s="7"/>
      <c r="H36" s="7"/>
      <c r="I36" s="8"/>
      <c r="J36" s="7"/>
      <c r="K36" s="7"/>
    </row>
    <row r="37" customFormat="false" ht="51.75" hidden="false" customHeight="true" outlineLevel="0" collapsed="false">
      <c r="A37" s="3" t="s">
        <v>96</v>
      </c>
      <c r="B37" s="4" t="s">
        <v>105</v>
      </c>
      <c r="C37" s="5" t="s">
        <v>110</v>
      </c>
      <c r="D37" s="5" t="s">
        <v>111</v>
      </c>
      <c r="E37" s="5" t="s">
        <v>74</v>
      </c>
      <c r="F37" s="6" t="s">
        <v>17</v>
      </c>
      <c r="G37" s="7"/>
      <c r="H37" s="7"/>
      <c r="I37" s="8"/>
      <c r="J37" s="7"/>
      <c r="K37" s="7"/>
    </row>
    <row r="38" customFormat="false" ht="51.75" hidden="false" customHeight="true" outlineLevel="0" collapsed="false">
      <c r="A38" s="3" t="s">
        <v>96</v>
      </c>
      <c r="B38" s="4" t="s">
        <v>112</v>
      </c>
      <c r="C38" s="5" t="s">
        <v>113</v>
      </c>
      <c r="D38" s="5" t="s">
        <v>114</v>
      </c>
      <c r="E38" s="5" t="s">
        <v>59</v>
      </c>
      <c r="F38" s="6" t="s">
        <v>17</v>
      </c>
      <c r="G38" s="7"/>
      <c r="H38" s="7"/>
      <c r="I38" s="8"/>
      <c r="J38" s="7"/>
      <c r="K38" s="7"/>
    </row>
    <row r="39" customFormat="false" ht="51.75" hidden="false" customHeight="true" outlineLevel="0" collapsed="false">
      <c r="A39" s="3" t="s">
        <v>96</v>
      </c>
      <c r="B39" s="4" t="s">
        <v>115</v>
      </c>
      <c r="C39" s="5" t="s">
        <v>116</v>
      </c>
      <c r="D39" s="5" t="s">
        <v>117</v>
      </c>
      <c r="E39" s="5" t="s">
        <v>118</v>
      </c>
      <c r="F39" s="6" t="s">
        <v>17</v>
      </c>
      <c r="G39" s="7"/>
      <c r="H39" s="7"/>
      <c r="I39" s="8"/>
      <c r="J39" s="7"/>
      <c r="K39" s="7"/>
    </row>
    <row r="40" customFormat="false" ht="51.75" hidden="false" customHeight="true" outlineLevel="0" collapsed="false">
      <c r="A40" s="3" t="s">
        <v>96</v>
      </c>
      <c r="B40" s="4" t="s">
        <v>115</v>
      </c>
      <c r="C40" s="5" t="s">
        <v>119</v>
      </c>
      <c r="D40" s="5" t="s">
        <v>120</v>
      </c>
      <c r="E40" s="5" t="s">
        <v>74</v>
      </c>
      <c r="F40" s="6" t="s">
        <v>17</v>
      </c>
      <c r="G40" s="7"/>
      <c r="H40" s="7"/>
      <c r="I40" s="8"/>
      <c r="J40" s="7"/>
      <c r="K40" s="7"/>
    </row>
    <row r="41" customFormat="false" ht="51.75" hidden="false" customHeight="true" outlineLevel="0" collapsed="false">
      <c r="A41" s="3" t="s">
        <v>96</v>
      </c>
      <c r="B41" s="4" t="s">
        <v>115</v>
      </c>
      <c r="C41" s="5" t="s">
        <v>121</v>
      </c>
      <c r="D41" s="5" t="s">
        <v>122</v>
      </c>
      <c r="E41" s="5" t="s">
        <v>74</v>
      </c>
      <c r="F41" s="6" t="s">
        <v>17</v>
      </c>
      <c r="G41" s="7"/>
      <c r="H41" s="7"/>
      <c r="I41" s="8"/>
      <c r="J41" s="7"/>
      <c r="K41" s="7"/>
    </row>
    <row r="42" customFormat="false" ht="51.75" hidden="false" customHeight="true" outlineLevel="0" collapsed="false">
      <c r="A42" s="3" t="s">
        <v>96</v>
      </c>
      <c r="B42" s="4" t="s">
        <v>115</v>
      </c>
      <c r="C42" s="5" t="s">
        <v>123</v>
      </c>
      <c r="D42" s="5" t="s">
        <v>124</v>
      </c>
      <c r="E42" s="5" t="s">
        <v>59</v>
      </c>
      <c r="F42" s="6" t="s">
        <v>17</v>
      </c>
      <c r="G42" s="7"/>
      <c r="H42" s="7"/>
      <c r="I42" s="8"/>
      <c r="J42" s="7"/>
      <c r="K42" s="7"/>
    </row>
    <row r="43" customFormat="false" ht="51.75" hidden="false" customHeight="true" outlineLevel="0" collapsed="false">
      <c r="A43" s="3" t="s">
        <v>96</v>
      </c>
      <c r="B43" s="4" t="s">
        <v>125</v>
      </c>
      <c r="C43" s="5" t="s">
        <v>126</v>
      </c>
      <c r="D43" s="5" t="s">
        <v>127</v>
      </c>
      <c r="E43" s="5" t="s">
        <v>128</v>
      </c>
      <c r="F43" s="6" t="s">
        <v>17</v>
      </c>
      <c r="G43" s="7"/>
      <c r="H43" s="7"/>
      <c r="I43" s="8"/>
      <c r="J43" s="7"/>
      <c r="K43" s="7"/>
    </row>
    <row r="44" customFormat="false" ht="51.75" hidden="false" customHeight="true" outlineLevel="0" collapsed="false">
      <c r="A44" s="3" t="s">
        <v>96</v>
      </c>
      <c r="B44" s="4" t="s">
        <v>125</v>
      </c>
      <c r="C44" s="5" t="s">
        <v>129</v>
      </c>
      <c r="D44" s="5" t="s">
        <v>130</v>
      </c>
      <c r="E44" s="5" t="s">
        <v>74</v>
      </c>
      <c r="F44" s="6" t="s">
        <v>17</v>
      </c>
      <c r="G44" s="7"/>
      <c r="H44" s="7"/>
      <c r="I44" s="8"/>
      <c r="J44" s="7"/>
      <c r="K44" s="7"/>
    </row>
    <row r="45" customFormat="false" ht="51.75" hidden="false" customHeight="true" outlineLevel="0" collapsed="false">
      <c r="A45" s="3" t="s">
        <v>96</v>
      </c>
      <c r="B45" s="4" t="s">
        <v>125</v>
      </c>
      <c r="C45" s="5" t="s">
        <v>131</v>
      </c>
      <c r="D45" s="5" t="s">
        <v>132</v>
      </c>
      <c r="E45" s="5" t="s">
        <v>74</v>
      </c>
      <c r="F45" s="9" t="s">
        <v>22</v>
      </c>
      <c r="G45" s="7"/>
      <c r="H45" s="7"/>
      <c r="I45" s="8"/>
      <c r="J45" s="7"/>
      <c r="K45" s="7"/>
    </row>
    <row r="46" customFormat="false" ht="51.75" hidden="false" customHeight="true" outlineLevel="0" collapsed="false">
      <c r="A46" s="3" t="s">
        <v>133</v>
      </c>
      <c r="B46" s="4" t="s">
        <v>134</v>
      </c>
      <c r="C46" s="5" t="s">
        <v>135</v>
      </c>
      <c r="D46" s="5" t="s">
        <v>136</v>
      </c>
      <c r="E46" s="5" t="s">
        <v>59</v>
      </c>
      <c r="F46" s="6" t="s">
        <v>17</v>
      </c>
      <c r="G46" s="17"/>
      <c r="H46" s="17"/>
      <c r="I46" s="18"/>
      <c r="J46" s="17"/>
      <c r="K46" s="17"/>
    </row>
    <row r="47" customFormat="false" ht="51.75" hidden="false" customHeight="true" outlineLevel="0" collapsed="false">
      <c r="A47" s="3" t="s">
        <v>133</v>
      </c>
      <c r="B47" s="4" t="s">
        <v>134</v>
      </c>
      <c r="C47" s="5" t="s">
        <v>137</v>
      </c>
      <c r="D47" s="5" t="s">
        <v>138</v>
      </c>
      <c r="E47" s="5" t="s">
        <v>59</v>
      </c>
      <c r="F47" s="6" t="s">
        <v>17</v>
      </c>
      <c r="G47" s="17"/>
      <c r="H47" s="17"/>
      <c r="I47" s="18"/>
      <c r="J47" s="17"/>
      <c r="K47" s="17"/>
    </row>
    <row r="48" customFormat="false" ht="51.75" hidden="false" customHeight="true" outlineLevel="0" collapsed="false">
      <c r="A48" s="3" t="s">
        <v>133</v>
      </c>
      <c r="B48" s="4" t="s">
        <v>134</v>
      </c>
      <c r="C48" s="5" t="s">
        <v>139</v>
      </c>
      <c r="D48" s="5" t="s">
        <v>140</v>
      </c>
      <c r="E48" s="5" t="s">
        <v>59</v>
      </c>
      <c r="F48" s="6" t="s">
        <v>17</v>
      </c>
      <c r="G48" s="17"/>
      <c r="H48" s="17"/>
      <c r="I48" s="18"/>
      <c r="J48" s="17"/>
      <c r="K48" s="17"/>
    </row>
    <row r="49" customFormat="false" ht="51.75" hidden="false" customHeight="true" outlineLevel="0" collapsed="false">
      <c r="A49" s="3" t="s">
        <v>133</v>
      </c>
      <c r="B49" s="4" t="s">
        <v>141</v>
      </c>
      <c r="C49" s="5" t="s">
        <v>142</v>
      </c>
      <c r="D49" s="5" t="s">
        <v>143</v>
      </c>
      <c r="E49" s="5" t="s">
        <v>59</v>
      </c>
      <c r="F49" s="6" t="s">
        <v>17</v>
      </c>
      <c r="G49" s="17"/>
      <c r="H49" s="17"/>
      <c r="I49" s="18"/>
      <c r="J49" s="17"/>
      <c r="K49" s="17"/>
    </row>
    <row r="50" customFormat="false" ht="51.75" hidden="false" customHeight="true" outlineLevel="0" collapsed="false">
      <c r="A50" s="3" t="s">
        <v>133</v>
      </c>
      <c r="B50" s="4" t="s">
        <v>141</v>
      </c>
      <c r="C50" s="5" t="s">
        <v>144</v>
      </c>
      <c r="D50" s="5" t="s">
        <v>145</v>
      </c>
      <c r="E50" s="5" t="s">
        <v>74</v>
      </c>
      <c r="F50" s="9" t="s">
        <v>22</v>
      </c>
      <c r="G50" s="17"/>
      <c r="H50" s="17"/>
      <c r="I50" s="18"/>
      <c r="J50" s="17"/>
      <c r="K50" s="17"/>
    </row>
    <row r="51" customFormat="false" ht="51.75" hidden="false" customHeight="true" outlineLevel="0" collapsed="false">
      <c r="A51" s="3" t="s">
        <v>146</v>
      </c>
      <c r="B51" s="4" t="s">
        <v>147</v>
      </c>
      <c r="C51" s="5" t="s">
        <v>148</v>
      </c>
      <c r="D51" s="5" t="s">
        <v>149</v>
      </c>
      <c r="E51" s="5" t="s">
        <v>16</v>
      </c>
      <c r="F51" s="6" t="s">
        <v>17</v>
      </c>
      <c r="G51" s="11"/>
      <c r="H51" s="11"/>
      <c r="I51" s="12"/>
      <c r="J51" s="11"/>
      <c r="K51" s="11"/>
    </row>
    <row r="52" customFormat="false" ht="51.75" hidden="false" customHeight="true" outlineLevel="0" collapsed="false">
      <c r="A52" s="3" t="s">
        <v>146</v>
      </c>
      <c r="B52" s="4" t="s">
        <v>147</v>
      </c>
      <c r="C52" s="5" t="s">
        <v>150</v>
      </c>
      <c r="D52" s="5" t="s">
        <v>151</v>
      </c>
      <c r="E52" s="5" t="s">
        <v>152</v>
      </c>
      <c r="F52" s="6" t="s">
        <v>17</v>
      </c>
      <c r="G52" s="11"/>
      <c r="H52" s="11"/>
      <c r="I52" s="12"/>
      <c r="J52" s="11"/>
      <c r="K52" s="11"/>
    </row>
    <row r="53" customFormat="false" ht="51.75" hidden="false" customHeight="true" outlineLevel="0" collapsed="false">
      <c r="A53" s="3" t="s">
        <v>146</v>
      </c>
      <c r="B53" s="4" t="s">
        <v>153</v>
      </c>
      <c r="C53" s="5" t="s">
        <v>154</v>
      </c>
      <c r="D53" s="5" t="s">
        <v>155</v>
      </c>
      <c r="E53" s="5" t="s">
        <v>59</v>
      </c>
      <c r="F53" s="6" t="s">
        <v>17</v>
      </c>
      <c r="G53" s="11"/>
      <c r="H53" s="11"/>
      <c r="I53" s="12"/>
      <c r="J53" s="11"/>
      <c r="K53" s="11"/>
    </row>
    <row r="54" customFormat="false" ht="51.75" hidden="false" customHeight="true" outlineLevel="0" collapsed="false">
      <c r="A54" s="3" t="s">
        <v>146</v>
      </c>
      <c r="B54" s="4" t="s">
        <v>153</v>
      </c>
      <c r="C54" s="5" t="s">
        <v>156</v>
      </c>
      <c r="D54" s="5" t="s">
        <v>157</v>
      </c>
      <c r="E54" s="5" t="s">
        <v>59</v>
      </c>
      <c r="F54" s="6" t="s">
        <v>17</v>
      </c>
      <c r="G54" s="11"/>
      <c r="H54" s="11"/>
      <c r="I54" s="12"/>
      <c r="J54" s="11"/>
      <c r="K54" s="11"/>
    </row>
    <row r="55" customFormat="false" ht="51.75" hidden="false" customHeight="true" outlineLevel="0" collapsed="false">
      <c r="A55" s="3" t="s">
        <v>146</v>
      </c>
      <c r="B55" s="4" t="s">
        <v>153</v>
      </c>
      <c r="C55" s="5" t="s">
        <v>158</v>
      </c>
      <c r="D55" s="5" t="s">
        <v>159</v>
      </c>
      <c r="E55" s="5" t="s">
        <v>160</v>
      </c>
      <c r="F55" s="6" t="s">
        <v>17</v>
      </c>
      <c r="G55" s="11"/>
      <c r="H55" s="11"/>
      <c r="I55" s="12"/>
      <c r="J55" s="11"/>
      <c r="K55" s="11"/>
    </row>
    <row r="56" customFormat="false" ht="51.75" hidden="false" customHeight="true" outlineLevel="0" collapsed="false">
      <c r="A56" s="3" t="s">
        <v>146</v>
      </c>
      <c r="B56" s="4" t="s">
        <v>161</v>
      </c>
      <c r="C56" s="5" t="s">
        <v>162</v>
      </c>
      <c r="D56" s="5" t="s">
        <v>163</v>
      </c>
      <c r="E56" s="5" t="s">
        <v>164</v>
      </c>
      <c r="F56" s="6" t="s">
        <v>17</v>
      </c>
      <c r="G56" s="11"/>
      <c r="H56" s="11"/>
      <c r="I56" s="12"/>
      <c r="J56" s="11"/>
      <c r="K56" s="11"/>
    </row>
    <row r="57" customFormat="false" ht="51.75" hidden="false" customHeight="true" outlineLevel="0" collapsed="false">
      <c r="A57" s="3" t="s">
        <v>146</v>
      </c>
      <c r="B57" s="4" t="s">
        <v>161</v>
      </c>
      <c r="C57" s="5" t="s">
        <v>165</v>
      </c>
      <c r="D57" s="5" t="s">
        <v>65</v>
      </c>
      <c r="E57" s="5" t="s">
        <v>16</v>
      </c>
      <c r="F57" s="6" t="s">
        <v>17</v>
      </c>
      <c r="G57" s="11"/>
      <c r="H57" s="11"/>
      <c r="I57" s="12"/>
      <c r="J57" s="11"/>
      <c r="K57" s="11"/>
    </row>
    <row r="58" customFormat="false" ht="51.75" hidden="false" customHeight="true" outlineLevel="0" collapsed="false">
      <c r="A58" s="3" t="s">
        <v>146</v>
      </c>
      <c r="B58" s="4" t="s">
        <v>161</v>
      </c>
      <c r="C58" s="5" t="s">
        <v>166</v>
      </c>
      <c r="D58" s="5" t="s">
        <v>167</v>
      </c>
      <c r="E58" s="5" t="s">
        <v>59</v>
      </c>
      <c r="F58" s="6" t="s">
        <v>17</v>
      </c>
      <c r="G58" s="11"/>
      <c r="H58" s="11"/>
      <c r="I58" s="12"/>
      <c r="J58" s="11"/>
      <c r="K58" s="11"/>
    </row>
    <row r="59" customFormat="false" ht="51.75" hidden="false" customHeight="true" outlineLevel="0" collapsed="false">
      <c r="A59" s="3" t="s">
        <v>168</v>
      </c>
      <c r="B59" s="4" t="s">
        <v>169</v>
      </c>
      <c r="C59" s="5" t="s">
        <v>170</v>
      </c>
      <c r="D59" s="5" t="s">
        <v>171</v>
      </c>
      <c r="E59" s="5" t="s">
        <v>16</v>
      </c>
      <c r="F59" s="6" t="s">
        <v>17</v>
      </c>
      <c r="G59" s="13"/>
      <c r="H59" s="13"/>
      <c r="I59" s="14"/>
      <c r="J59" s="13"/>
      <c r="K59" s="13"/>
    </row>
    <row r="60" customFormat="false" ht="51.75" hidden="false" customHeight="true" outlineLevel="0" collapsed="false">
      <c r="A60" s="3" t="s">
        <v>168</v>
      </c>
      <c r="B60" s="4" t="s">
        <v>169</v>
      </c>
      <c r="C60" s="5" t="s">
        <v>172</v>
      </c>
      <c r="D60" s="5" t="s">
        <v>173</v>
      </c>
      <c r="E60" s="5" t="s">
        <v>16</v>
      </c>
      <c r="F60" s="6" t="s">
        <v>17</v>
      </c>
      <c r="G60" s="13"/>
      <c r="H60" s="13"/>
      <c r="I60" s="14"/>
      <c r="J60" s="13"/>
      <c r="K60" s="13"/>
    </row>
    <row r="61" customFormat="false" ht="51.75" hidden="false" customHeight="true" outlineLevel="0" collapsed="false">
      <c r="A61" s="3" t="s">
        <v>168</v>
      </c>
      <c r="B61" s="4" t="s">
        <v>169</v>
      </c>
      <c r="C61" s="5" t="s">
        <v>174</v>
      </c>
      <c r="D61" s="5" t="s">
        <v>175</v>
      </c>
      <c r="E61" s="5" t="s">
        <v>16</v>
      </c>
      <c r="F61" s="9" t="s">
        <v>22</v>
      </c>
      <c r="G61" s="13"/>
      <c r="H61" s="13"/>
      <c r="I61" s="14"/>
      <c r="J61" s="13"/>
      <c r="K61" s="13"/>
    </row>
    <row r="62" customFormat="false" ht="51.75" hidden="false" customHeight="true" outlineLevel="0" collapsed="false">
      <c r="A62" s="3" t="s">
        <v>168</v>
      </c>
      <c r="B62" s="4" t="s">
        <v>176</v>
      </c>
      <c r="C62" s="5" t="s">
        <v>177</v>
      </c>
      <c r="D62" s="5" t="s">
        <v>178</v>
      </c>
      <c r="E62" s="5" t="s">
        <v>16</v>
      </c>
      <c r="F62" s="9" t="s">
        <v>22</v>
      </c>
      <c r="G62" s="13"/>
      <c r="H62" s="13"/>
      <c r="I62" s="14"/>
      <c r="J62" s="13"/>
      <c r="K62" s="13"/>
    </row>
    <row r="63" customFormat="false" ht="51.75" hidden="false" customHeight="true" outlineLevel="0" collapsed="false">
      <c r="A63" s="3" t="s">
        <v>168</v>
      </c>
      <c r="B63" s="4" t="s">
        <v>176</v>
      </c>
      <c r="C63" s="5" t="s">
        <v>179</v>
      </c>
      <c r="D63" s="5" t="s">
        <v>180</v>
      </c>
      <c r="E63" s="5" t="s">
        <v>59</v>
      </c>
      <c r="F63" s="6" t="s">
        <v>17</v>
      </c>
      <c r="G63" s="13"/>
      <c r="H63" s="13"/>
      <c r="I63" s="14"/>
      <c r="J63" s="13"/>
      <c r="K63" s="13"/>
    </row>
    <row r="64" customFormat="false" ht="51.75" hidden="false" customHeight="true" outlineLevel="0" collapsed="false">
      <c r="A64" s="3" t="s">
        <v>168</v>
      </c>
      <c r="B64" s="4" t="s">
        <v>176</v>
      </c>
      <c r="C64" s="5" t="s">
        <v>181</v>
      </c>
      <c r="D64" s="5" t="s">
        <v>182</v>
      </c>
      <c r="E64" s="5" t="s">
        <v>59</v>
      </c>
      <c r="F64" s="6" t="s">
        <v>17</v>
      </c>
      <c r="G64" s="13"/>
      <c r="H64" s="13"/>
      <c r="I64" s="14"/>
      <c r="J64" s="13"/>
      <c r="K64" s="13"/>
    </row>
    <row r="65" customFormat="false" ht="51.75" hidden="false" customHeight="true" outlineLevel="0" collapsed="false">
      <c r="A65" s="3" t="s">
        <v>183</v>
      </c>
      <c r="B65" s="4" t="s">
        <v>184</v>
      </c>
      <c r="C65" s="5" t="s">
        <v>185</v>
      </c>
      <c r="D65" s="5" t="s">
        <v>186</v>
      </c>
      <c r="E65" s="5" t="s">
        <v>187</v>
      </c>
      <c r="F65" s="9" t="s">
        <v>22</v>
      </c>
      <c r="G65" s="15"/>
      <c r="H65" s="15"/>
      <c r="I65" s="16"/>
      <c r="J65" s="15"/>
      <c r="K65" s="15"/>
    </row>
    <row r="66" customFormat="false" ht="51.75" hidden="false" customHeight="true" outlineLevel="0" collapsed="false">
      <c r="A66" s="3" t="s">
        <v>183</v>
      </c>
      <c r="B66" s="4" t="s">
        <v>184</v>
      </c>
      <c r="C66" s="5" t="s">
        <v>188</v>
      </c>
      <c r="D66" s="5" t="s">
        <v>189</v>
      </c>
      <c r="E66" s="5" t="s">
        <v>16</v>
      </c>
      <c r="F66" s="9" t="s">
        <v>22</v>
      </c>
      <c r="G66" s="15"/>
      <c r="H66" s="15"/>
      <c r="I66" s="16"/>
      <c r="J66" s="15"/>
      <c r="K66" s="15"/>
    </row>
    <row r="67" customFormat="false" ht="51.75" hidden="false" customHeight="true" outlineLevel="0" collapsed="false">
      <c r="A67" s="3" t="s">
        <v>183</v>
      </c>
      <c r="B67" s="4" t="s">
        <v>184</v>
      </c>
      <c r="C67" s="5" t="s">
        <v>190</v>
      </c>
      <c r="D67" s="5" t="s">
        <v>191</v>
      </c>
      <c r="E67" s="5" t="s">
        <v>192</v>
      </c>
      <c r="F67" s="6" t="s">
        <v>17</v>
      </c>
      <c r="G67" s="15"/>
      <c r="H67" s="15"/>
      <c r="I67" s="16"/>
      <c r="J67" s="15"/>
      <c r="K67" s="15"/>
    </row>
    <row r="68" customFormat="false" ht="51.75" hidden="false" customHeight="true" outlineLevel="0" collapsed="false">
      <c r="A68" s="3" t="s">
        <v>183</v>
      </c>
      <c r="B68" s="4" t="s">
        <v>193</v>
      </c>
      <c r="C68" s="5" t="s">
        <v>194</v>
      </c>
      <c r="D68" s="5" t="s">
        <v>195</v>
      </c>
      <c r="E68" s="5" t="s">
        <v>16</v>
      </c>
      <c r="F68" s="10" t="s">
        <v>39</v>
      </c>
      <c r="G68" s="15"/>
      <c r="H68" s="15"/>
      <c r="I68" s="16"/>
      <c r="J68" s="15"/>
      <c r="K68" s="15"/>
    </row>
    <row r="69" customFormat="false" ht="51.75" hidden="false" customHeight="true" outlineLevel="0" collapsed="false">
      <c r="A69" s="3" t="s">
        <v>183</v>
      </c>
      <c r="B69" s="4" t="s">
        <v>193</v>
      </c>
      <c r="C69" s="5" t="s">
        <v>196</v>
      </c>
      <c r="D69" s="5" t="s">
        <v>197</v>
      </c>
      <c r="E69" s="5" t="s">
        <v>50</v>
      </c>
      <c r="F69" s="10" t="s">
        <v>39</v>
      </c>
      <c r="G69" s="15"/>
      <c r="H69" s="15"/>
      <c r="I69" s="16"/>
      <c r="J69" s="15"/>
      <c r="K69" s="15"/>
    </row>
    <row r="70" customFormat="false" ht="51.75" hidden="false" customHeight="true" outlineLevel="0" collapsed="false">
      <c r="A70" s="3" t="s">
        <v>198</v>
      </c>
      <c r="B70" s="4" t="s">
        <v>199</v>
      </c>
      <c r="C70" s="5" t="s">
        <v>200</v>
      </c>
      <c r="D70" s="5" t="s">
        <v>201</v>
      </c>
      <c r="E70" s="5" t="s">
        <v>16</v>
      </c>
      <c r="F70" s="6" t="s">
        <v>17</v>
      </c>
      <c r="G70" s="7"/>
      <c r="H70" s="7"/>
      <c r="I70" s="8"/>
      <c r="J70" s="7"/>
      <c r="K70" s="7"/>
    </row>
    <row r="71" customFormat="false" ht="51.75" hidden="false" customHeight="true" outlineLevel="0" collapsed="false">
      <c r="A71" s="3" t="s">
        <v>198</v>
      </c>
      <c r="B71" s="4" t="s">
        <v>199</v>
      </c>
      <c r="C71" s="5" t="s">
        <v>202</v>
      </c>
      <c r="D71" s="5" t="s">
        <v>203</v>
      </c>
      <c r="E71" s="5" t="s">
        <v>164</v>
      </c>
      <c r="F71" s="6" t="s">
        <v>17</v>
      </c>
      <c r="G71" s="7"/>
      <c r="H71" s="7"/>
      <c r="I71" s="8"/>
      <c r="J71" s="7"/>
      <c r="K71" s="7"/>
    </row>
    <row r="72" customFormat="false" ht="51.75" hidden="false" customHeight="true" outlineLevel="0" collapsed="false">
      <c r="A72" s="3" t="s">
        <v>198</v>
      </c>
      <c r="B72" s="4" t="s">
        <v>199</v>
      </c>
      <c r="C72" s="5" t="s">
        <v>204</v>
      </c>
      <c r="D72" s="5" t="s">
        <v>205</v>
      </c>
      <c r="E72" s="5" t="s">
        <v>164</v>
      </c>
      <c r="F72" s="9" t="s">
        <v>22</v>
      </c>
      <c r="G72" s="7"/>
      <c r="H72" s="7"/>
      <c r="I72" s="8"/>
      <c r="J72" s="7"/>
      <c r="K72" s="7"/>
    </row>
    <row r="73" customFormat="false" ht="51.75" hidden="false" customHeight="true" outlineLevel="0" collapsed="false">
      <c r="A73" s="3" t="s">
        <v>198</v>
      </c>
      <c r="B73" s="4" t="s">
        <v>206</v>
      </c>
      <c r="C73" s="5" t="s">
        <v>207</v>
      </c>
      <c r="D73" s="5" t="s">
        <v>208</v>
      </c>
      <c r="E73" s="5" t="s">
        <v>59</v>
      </c>
      <c r="F73" s="6" t="s">
        <v>17</v>
      </c>
      <c r="G73" s="7"/>
      <c r="H73" s="7"/>
      <c r="I73" s="8"/>
      <c r="J73" s="7"/>
      <c r="K73" s="7"/>
    </row>
    <row r="74" customFormat="false" ht="51.75" hidden="false" customHeight="true" outlineLevel="0" collapsed="false">
      <c r="A74" s="3" t="s">
        <v>198</v>
      </c>
      <c r="B74" s="4" t="s">
        <v>206</v>
      </c>
      <c r="C74" s="5" t="s">
        <v>209</v>
      </c>
      <c r="D74" s="5" t="s">
        <v>210</v>
      </c>
      <c r="E74" s="5" t="s">
        <v>164</v>
      </c>
      <c r="F74" s="9" t="s">
        <v>22</v>
      </c>
      <c r="G74" s="7"/>
      <c r="H74" s="7"/>
      <c r="I74" s="8"/>
      <c r="J74" s="7"/>
      <c r="K74" s="7"/>
    </row>
    <row r="75" customFormat="false" ht="51.75" hidden="false" customHeight="true" outlineLevel="0" collapsed="false">
      <c r="A75" s="3" t="s">
        <v>211</v>
      </c>
      <c r="B75" s="4" t="s">
        <v>212</v>
      </c>
      <c r="C75" s="5" t="s">
        <v>213</v>
      </c>
      <c r="D75" s="5" t="s">
        <v>214</v>
      </c>
      <c r="E75" s="5" t="s">
        <v>16</v>
      </c>
      <c r="F75" s="6" t="s">
        <v>17</v>
      </c>
      <c r="G75" s="17"/>
      <c r="H75" s="17"/>
      <c r="I75" s="18"/>
      <c r="J75" s="17"/>
      <c r="K75" s="17"/>
    </row>
    <row r="76" customFormat="false" ht="51.75" hidden="false" customHeight="true" outlineLevel="0" collapsed="false">
      <c r="A76" s="3" t="s">
        <v>211</v>
      </c>
      <c r="B76" s="4" t="s">
        <v>212</v>
      </c>
      <c r="C76" s="5" t="s">
        <v>215</v>
      </c>
      <c r="D76" s="5" t="s">
        <v>216</v>
      </c>
      <c r="E76" s="5" t="s">
        <v>164</v>
      </c>
      <c r="F76" s="6" t="s">
        <v>17</v>
      </c>
      <c r="G76" s="17"/>
      <c r="H76" s="17"/>
      <c r="I76" s="18"/>
      <c r="J76" s="17"/>
      <c r="K76" s="17"/>
    </row>
    <row r="77" customFormat="false" ht="51.75" hidden="false" customHeight="true" outlineLevel="0" collapsed="false">
      <c r="A77" s="3" t="s">
        <v>211</v>
      </c>
      <c r="B77" s="4" t="s">
        <v>212</v>
      </c>
      <c r="C77" s="5" t="s">
        <v>217</v>
      </c>
      <c r="D77" s="5" t="s">
        <v>218</v>
      </c>
      <c r="E77" s="5" t="s">
        <v>187</v>
      </c>
      <c r="F77" s="9" t="s">
        <v>22</v>
      </c>
      <c r="G77" s="17"/>
      <c r="H77" s="17"/>
      <c r="I77" s="18"/>
      <c r="J77" s="17"/>
      <c r="K77" s="17"/>
    </row>
    <row r="78" customFormat="false" ht="51.75" hidden="false" customHeight="true" outlineLevel="0" collapsed="false">
      <c r="A78" s="3" t="s">
        <v>211</v>
      </c>
      <c r="B78" s="4" t="s">
        <v>212</v>
      </c>
      <c r="C78" s="5" t="s">
        <v>219</v>
      </c>
      <c r="D78" s="5" t="s">
        <v>220</v>
      </c>
      <c r="E78" s="5" t="s">
        <v>16</v>
      </c>
      <c r="F78" s="6" t="s">
        <v>17</v>
      </c>
      <c r="G78" s="17"/>
      <c r="H78" s="17"/>
      <c r="I78" s="18"/>
      <c r="J78" s="17"/>
      <c r="K78" s="17"/>
    </row>
    <row r="79" customFormat="false" ht="51.75" hidden="false" customHeight="true" outlineLevel="0" collapsed="false">
      <c r="A79" s="3" t="s">
        <v>211</v>
      </c>
      <c r="B79" s="4" t="s">
        <v>221</v>
      </c>
      <c r="C79" s="5" t="s">
        <v>222</v>
      </c>
      <c r="D79" s="5" t="s">
        <v>223</v>
      </c>
      <c r="E79" s="5" t="s">
        <v>16</v>
      </c>
      <c r="F79" s="9" t="s">
        <v>22</v>
      </c>
      <c r="G79" s="17"/>
      <c r="H79" s="17"/>
      <c r="I79" s="18"/>
      <c r="J79" s="17"/>
      <c r="K79" s="17"/>
    </row>
    <row r="80" customFormat="false" ht="51.75" hidden="false" customHeight="true" outlineLevel="0" collapsed="false">
      <c r="A80" s="3" t="s">
        <v>211</v>
      </c>
      <c r="B80" s="4" t="s">
        <v>221</v>
      </c>
      <c r="C80" s="5" t="s">
        <v>224</v>
      </c>
      <c r="D80" s="5" t="s">
        <v>225</v>
      </c>
      <c r="E80" s="5" t="s">
        <v>226</v>
      </c>
      <c r="F80" s="6" t="s">
        <v>17</v>
      </c>
      <c r="G80" s="17"/>
      <c r="H80" s="17"/>
      <c r="I80" s="18"/>
      <c r="J80" s="17"/>
      <c r="K80" s="17"/>
    </row>
    <row r="81" customFormat="false" ht="51.75" hidden="false" customHeight="true" outlineLevel="0" collapsed="false">
      <c r="A81" s="3" t="s">
        <v>211</v>
      </c>
      <c r="B81" s="4" t="s">
        <v>227</v>
      </c>
      <c r="C81" s="5" t="s">
        <v>228</v>
      </c>
      <c r="D81" s="5" t="s">
        <v>229</v>
      </c>
      <c r="E81" s="5" t="s">
        <v>16</v>
      </c>
      <c r="F81" s="9" t="s">
        <v>22</v>
      </c>
      <c r="G81" s="17"/>
      <c r="H81" s="17"/>
      <c r="I81" s="18"/>
      <c r="J81" s="17"/>
      <c r="K81" s="17"/>
    </row>
    <row r="82" customFormat="false" ht="15" hidden="false" customHeight="false" outlineLevel="0" collapsed="false">
      <c r="A82" s="3" t="s">
        <v>211</v>
      </c>
      <c r="B82" s="4" t="s">
        <v>227</v>
      </c>
      <c r="C82" s="5" t="s">
        <v>230</v>
      </c>
      <c r="D82" s="5" t="s">
        <v>231</v>
      </c>
      <c r="E82" s="5" t="s">
        <v>59</v>
      </c>
      <c r="F82" s="6" t="s">
        <v>17</v>
      </c>
      <c r="G82" s="17"/>
      <c r="H82" s="17"/>
      <c r="I82" s="18"/>
      <c r="J82" s="17"/>
      <c r="K82" s="17"/>
    </row>
  </sheetData>
  <autoFilter ref="A1:K81"/>
  <mergeCells count="1">
    <mergeCell ref="A1:K1"/>
  </mergeCells>
  <dataValidations count="3">
    <dataValidation allowBlank="true" error="Choisir parmi : Faible, Moyenne, Élevée" errorStyle="stop" errorTitle="Valeur invalide" operator="between" showDropDown="false" showErrorMessage="true" showInputMessage="false" sqref="F2:F81" type="list">
      <formula1>"Faible,Moyenne,Élevée"</formula1>
      <formula2>0</formula2>
    </dataValidation>
    <dataValidation allowBlank="true" error="Choisir parmi : Oui, Non, Partiel, N/A" errorStyle="stop" errorTitle="Valeur invalide" operator="between" showDropDown="false" showErrorMessage="true" showInputMessage="false" sqref="G2:G81" type="list">
      <formula1>"Oui,Non,Partiel,N/A"</formula1>
      <formula2>0</formula2>
    </dataValidation>
    <dataValidation allowBlank="true" error="Choisir parmi : 0, 1, 2, N/A" errorStyle="stop" errorTitle="Valeur invalide" operator="between" showDropDown="false" showErrorMessage="true" showInputMessage="false" sqref="I2:I81" type="list">
      <formula1>"0,1,2,N/A"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8"/>
    <col collapsed="false" customWidth="true" hidden="false" outlineLevel="0" max="10" min="8" style="0" width="14"/>
  </cols>
  <sheetData>
    <row r="1" customFormat="false" ht="37.5" hidden="false" customHeight="true" outlineLevel="0" collapsed="false">
      <c r="A1" s="19" t="s">
        <v>1</v>
      </c>
      <c r="B1" s="19" t="s">
        <v>232</v>
      </c>
      <c r="C1" s="19" t="s">
        <v>233</v>
      </c>
      <c r="D1" s="19" t="s">
        <v>234</v>
      </c>
      <c r="E1" s="19" t="s">
        <v>235</v>
      </c>
      <c r="F1" s="19" t="s">
        <v>236</v>
      </c>
      <c r="G1" s="19" t="s">
        <v>237</v>
      </c>
      <c r="H1" s="19" t="s">
        <v>238</v>
      </c>
      <c r="I1" s="19" t="s">
        <v>239</v>
      </c>
      <c r="J1" s="19" t="s">
        <v>240</v>
      </c>
    </row>
    <row r="2" customFormat="false" ht="15" hidden="false" customHeight="false" outlineLevel="0" collapsed="false">
      <c r="A2" s="20" t="s">
        <v>241</v>
      </c>
      <c r="B2" s="8" t="n">
        <f aca="false">COUNTIF('Controle SSI'!A:A,"A")</f>
        <v>10</v>
      </c>
      <c r="C2" s="21" t="n">
        <f aca="false">COUNTIFS('Controle SSI'!A:A,"A",'Controle SSI'!G:G,"Non")</f>
        <v>0</v>
      </c>
      <c r="D2" s="22" t="n">
        <f aca="false">COUNTIFS('Controle SSI'!A:A,"A",'Controle SSI'!G:G,"Partiel")</f>
        <v>0</v>
      </c>
      <c r="E2" s="23" t="n">
        <f aca="false">COUNTIFS('Controle SSI'!A:A,"A",'Controle SSI'!G:G,"Oui")</f>
        <v>0</v>
      </c>
      <c r="F2" s="8" t="n">
        <f aca="false">COUNTIFS('Controle SSI'!A:A,"A",'Controle SSI'!G:G,"N/A")</f>
        <v>0</v>
      </c>
      <c r="G2" s="24" t="n">
        <f aca="false">IFERROR(E2/MAX(B2-F2,1),0)</f>
        <v>0</v>
      </c>
      <c r="H2" s="25" t="n">
        <f aca="false">SUMIF('Controle SSI'!A:A,"A",'Controle SSI'!I:I)</f>
        <v>0</v>
      </c>
      <c r="I2" s="8" t="n">
        <f aca="false">B2*2</f>
        <v>20</v>
      </c>
      <c r="J2" s="26" t="n">
        <f aca="false">IFERROR(H2/B2,0)</f>
        <v>0</v>
      </c>
    </row>
    <row r="3" customFormat="false" ht="15" hidden="false" customHeight="false" outlineLevel="0" collapsed="false">
      <c r="A3" s="27" t="s">
        <v>242</v>
      </c>
      <c r="B3" s="12" t="n">
        <f aca="false">COUNTIF('Controle SSI'!A:A,"B")</f>
        <v>4</v>
      </c>
      <c r="C3" s="28" t="n">
        <f aca="false">COUNTIFS('Controle SSI'!A:A,"B",'Controle SSI'!G:G,"Non")</f>
        <v>0</v>
      </c>
      <c r="D3" s="29" t="n">
        <f aca="false">COUNTIFS('Controle SSI'!A:A,"B",'Controle SSI'!G:G,"Partiel")</f>
        <v>0</v>
      </c>
      <c r="E3" s="30" t="n">
        <f aca="false">COUNTIFS('Controle SSI'!A:A,"B",'Controle SSI'!G:G,"Oui")</f>
        <v>0</v>
      </c>
      <c r="F3" s="12" t="n">
        <f aca="false">COUNTIFS('Controle SSI'!A:A,"B",'Controle SSI'!G:G,"N/A")</f>
        <v>0</v>
      </c>
      <c r="G3" s="31" t="n">
        <f aca="false">IFERROR(E3/MAX(B3-F3,1),0)</f>
        <v>0</v>
      </c>
      <c r="H3" s="32" t="n">
        <f aca="false">SUMIF('Controle SSI'!A:A,"B",'Controle SSI'!I:I)</f>
        <v>0</v>
      </c>
      <c r="I3" s="12" t="n">
        <f aca="false">B3*2</f>
        <v>8</v>
      </c>
      <c r="J3" s="33" t="n">
        <f aca="false">IFERROR(H3/B3,0)</f>
        <v>0</v>
      </c>
    </row>
    <row r="4" customFormat="false" ht="15" hidden="false" customHeight="false" outlineLevel="0" collapsed="false">
      <c r="A4" s="34" t="s">
        <v>243</v>
      </c>
      <c r="B4" s="14" t="n">
        <f aca="false">COUNTIF('Controle SSI'!A:A,"C")</f>
        <v>9</v>
      </c>
      <c r="C4" s="35" t="n">
        <f aca="false">COUNTIFS('Controle SSI'!A:A,"C",'Controle SSI'!G:G,"Non")</f>
        <v>0</v>
      </c>
      <c r="D4" s="36" t="n">
        <f aca="false">COUNTIFS('Controle SSI'!A:A,"C",'Controle SSI'!G:G,"Partiel")</f>
        <v>0</v>
      </c>
      <c r="E4" s="37" t="n">
        <f aca="false">COUNTIFS('Controle SSI'!A:A,"C",'Controle SSI'!G:G,"Oui")</f>
        <v>0</v>
      </c>
      <c r="F4" s="14" t="n">
        <f aca="false">COUNTIFS('Controle SSI'!A:A,"C",'Controle SSI'!G:G,"N/A")</f>
        <v>0</v>
      </c>
      <c r="G4" s="38" t="n">
        <f aca="false">IFERROR(E4/MAX(B4-F4,1),0)</f>
        <v>0</v>
      </c>
      <c r="H4" s="39" t="n">
        <f aca="false">SUMIF('Controle SSI'!A:A,"C",'Controle SSI'!I:I)</f>
        <v>0</v>
      </c>
      <c r="I4" s="14" t="n">
        <f aca="false">B4*2</f>
        <v>18</v>
      </c>
      <c r="J4" s="40" t="n">
        <f aca="false">IFERROR(H4/B4,0)</f>
        <v>0</v>
      </c>
    </row>
    <row r="5" customFormat="false" ht="15" hidden="false" customHeight="false" outlineLevel="0" collapsed="false">
      <c r="A5" s="41" t="s">
        <v>244</v>
      </c>
      <c r="B5" s="16" t="n">
        <f aca="false">COUNTIF('Controle SSI'!A:A,"D")</f>
        <v>6</v>
      </c>
      <c r="C5" s="42" t="n">
        <f aca="false">COUNTIFS('Controle SSI'!A:A,"D",'Controle SSI'!G:G,"Non")</f>
        <v>0</v>
      </c>
      <c r="D5" s="43" t="n">
        <f aca="false">COUNTIFS('Controle SSI'!A:A,"D",'Controle SSI'!G:G,"Partiel")</f>
        <v>0</v>
      </c>
      <c r="E5" s="44" t="n">
        <f aca="false">COUNTIFS('Controle SSI'!A:A,"D",'Controle SSI'!G:G,"Oui")</f>
        <v>0</v>
      </c>
      <c r="F5" s="16" t="n">
        <f aca="false">COUNTIFS('Controle SSI'!A:A,"D",'Controle SSI'!G:G,"N/A")</f>
        <v>0</v>
      </c>
      <c r="G5" s="45" t="n">
        <f aca="false">IFERROR(E5/MAX(B5-F5,1),0)</f>
        <v>0</v>
      </c>
      <c r="H5" s="46" t="n">
        <f aca="false">SUMIF('Controle SSI'!A:A,"D",'Controle SSI'!I:I)</f>
        <v>0</v>
      </c>
      <c r="I5" s="16" t="n">
        <f aca="false">B5*2</f>
        <v>12</v>
      </c>
      <c r="J5" s="47" t="n">
        <f aca="false">IFERROR(H5/B5,0)</f>
        <v>0</v>
      </c>
    </row>
    <row r="6" customFormat="false" ht="15" hidden="false" customHeight="false" outlineLevel="0" collapsed="false">
      <c r="A6" s="20" t="s">
        <v>245</v>
      </c>
      <c r="B6" s="8" t="n">
        <f aca="false">COUNTIF('Controle SSI'!A:A,"E")</f>
        <v>14</v>
      </c>
      <c r="C6" s="21" t="n">
        <f aca="false">COUNTIFS('Controle SSI'!A:A,"E",'Controle SSI'!G:G,"Non")</f>
        <v>0</v>
      </c>
      <c r="D6" s="22" t="n">
        <f aca="false">COUNTIFS('Controle SSI'!A:A,"E",'Controle SSI'!G:G,"Partiel")</f>
        <v>0</v>
      </c>
      <c r="E6" s="23" t="n">
        <f aca="false">COUNTIFS('Controle SSI'!A:A,"E",'Controle SSI'!G:G,"Oui")</f>
        <v>0</v>
      </c>
      <c r="F6" s="8" t="n">
        <f aca="false">COUNTIFS('Controle SSI'!A:A,"E",'Controle SSI'!G:G,"N/A")</f>
        <v>0</v>
      </c>
      <c r="G6" s="24" t="n">
        <f aca="false">IFERROR(E6/MAX(B6-F6,1),0)</f>
        <v>0</v>
      </c>
      <c r="H6" s="25" t="n">
        <f aca="false">SUMIF('Controle SSI'!A:A,"E",'Controle SSI'!I:I)</f>
        <v>0</v>
      </c>
      <c r="I6" s="8" t="n">
        <f aca="false">B6*2</f>
        <v>28</v>
      </c>
      <c r="J6" s="26" t="n">
        <f aca="false">IFERROR(H6/B6,0)</f>
        <v>0</v>
      </c>
    </row>
    <row r="7" customFormat="false" ht="15" hidden="false" customHeight="false" outlineLevel="0" collapsed="false">
      <c r="A7" s="48" t="s">
        <v>246</v>
      </c>
      <c r="B7" s="18" t="n">
        <f aca="false">COUNTIF('Controle SSI'!A:A,"F")</f>
        <v>5</v>
      </c>
      <c r="C7" s="49" t="n">
        <f aca="false">COUNTIFS('Controle SSI'!A:A,"F",'Controle SSI'!G:G,"Non")</f>
        <v>0</v>
      </c>
      <c r="D7" s="50" t="n">
        <f aca="false">COUNTIFS('Controle SSI'!A:A,"F",'Controle SSI'!G:G,"Partiel")</f>
        <v>0</v>
      </c>
      <c r="E7" s="51" t="n">
        <f aca="false">COUNTIFS('Controle SSI'!A:A,"F",'Controle SSI'!G:G,"Oui")</f>
        <v>0</v>
      </c>
      <c r="F7" s="18" t="n">
        <f aca="false">COUNTIFS('Controle SSI'!A:A,"F",'Controle SSI'!G:G,"N/A")</f>
        <v>0</v>
      </c>
      <c r="G7" s="52" t="n">
        <f aca="false">IFERROR(E7/MAX(B7-F7,1),0)</f>
        <v>0</v>
      </c>
      <c r="H7" s="53" t="n">
        <f aca="false">SUMIF('Controle SSI'!A:A,"F",'Controle SSI'!I:I)</f>
        <v>0</v>
      </c>
      <c r="I7" s="18" t="n">
        <f aca="false">B7*2</f>
        <v>10</v>
      </c>
      <c r="J7" s="54" t="n">
        <f aca="false">IFERROR(H7/B7,0)</f>
        <v>0</v>
      </c>
    </row>
    <row r="8" customFormat="false" ht="15" hidden="false" customHeight="false" outlineLevel="0" collapsed="false">
      <c r="A8" s="27" t="s">
        <v>247</v>
      </c>
      <c r="B8" s="12" t="n">
        <f aca="false">COUNTIF('Controle SSI'!A:A,"G")</f>
        <v>8</v>
      </c>
      <c r="C8" s="28" t="n">
        <f aca="false">COUNTIFS('Controle SSI'!A:A,"G",'Controle SSI'!G:G,"Non")</f>
        <v>0</v>
      </c>
      <c r="D8" s="29" t="n">
        <f aca="false">COUNTIFS('Controle SSI'!A:A,"G",'Controle SSI'!G:G,"Partiel")</f>
        <v>0</v>
      </c>
      <c r="E8" s="30" t="n">
        <f aca="false">COUNTIFS('Controle SSI'!A:A,"G",'Controle SSI'!G:G,"Oui")</f>
        <v>0</v>
      </c>
      <c r="F8" s="12" t="n">
        <f aca="false">COUNTIFS('Controle SSI'!A:A,"G",'Controle SSI'!G:G,"N/A")</f>
        <v>0</v>
      </c>
      <c r="G8" s="31" t="n">
        <f aca="false">IFERROR(E8/MAX(B8-F8,1),0)</f>
        <v>0</v>
      </c>
      <c r="H8" s="32" t="n">
        <f aca="false">SUMIF('Controle SSI'!A:A,"G",'Controle SSI'!I:I)</f>
        <v>0</v>
      </c>
      <c r="I8" s="12" t="n">
        <f aca="false">B8*2</f>
        <v>16</v>
      </c>
      <c r="J8" s="33" t="n">
        <f aca="false">IFERROR(H8/B8,0)</f>
        <v>0</v>
      </c>
    </row>
    <row r="9" customFormat="false" ht="15" hidden="false" customHeight="false" outlineLevel="0" collapsed="false">
      <c r="A9" s="34" t="s">
        <v>248</v>
      </c>
      <c r="B9" s="14" t="n">
        <f aca="false">COUNTIF('Controle SSI'!A:A,"H")</f>
        <v>6</v>
      </c>
      <c r="C9" s="35" t="n">
        <f aca="false">COUNTIFS('Controle SSI'!A:A,"H",'Controle SSI'!G:G,"Non")</f>
        <v>0</v>
      </c>
      <c r="D9" s="36" t="n">
        <f aca="false">COUNTIFS('Controle SSI'!A:A,"H",'Controle SSI'!G:G,"Partiel")</f>
        <v>0</v>
      </c>
      <c r="E9" s="37" t="n">
        <f aca="false">COUNTIFS('Controle SSI'!A:A,"H",'Controle SSI'!G:G,"Oui")</f>
        <v>0</v>
      </c>
      <c r="F9" s="14" t="n">
        <f aca="false">COUNTIFS('Controle SSI'!A:A,"H",'Controle SSI'!G:G,"N/A")</f>
        <v>0</v>
      </c>
      <c r="G9" s="38" t="n">
        <f aca="false">IFERROR(E9/MAX(B9-F9,1),0)</f>
        <v>0</v>
      </c>
      <c r="H9" s="39" t="n">
        <f aca="false">SUMIF('Controle SSI'!A:A,"H",'Controle SSI'!I:I)</f>
        <v>0</v>
      </c>
      <c r="I9" s="14" t="n">
        <f aca="false">B9*2</f>
        <v>12</v>
      </c>
      <c r="J9" s="40" t="n">
        <f aca="false">IFERROR(H9/B9,0)</f>
        <v>0</v>
      </c>
    </row>
    <row r="10" customFormat="false" ht="15" hidden="false" customHeight="false" outlineLevel="0" collapsed="false">
      <c r="A10" s="41" t="s">
        <v>249</v>
      </c>
      <c r="B10" s="16" t="n">
        <f aca="false">COUNTIF('Controle SSI'!A:A,"I")</f>
        <v>5</v>
      </c>
      <c r="C10" s="42" t="n">
        <f aca="false">COUNTIFS('Controle SSI'!A:A,"I",'Controle SSI'!G:G,"Non")</f>
        <v>0</v>
      </c>
      <c r="D10" s="43" t="n">
        <f aca="false">COUNTIFS('Controle SSI'!A:A,"I",'Controle SSI'!G:G,"Partiel")</f>
        <v>0</v>
      </c>
      <c r="E10" s="44" t="n">
        <f aca="false">COUNTIFS('Controle SSI'!A:A,"I",'Controle SSI'!G:G,"Oui")</f>
        <v>0</v>
      </c>
      <c r="F10" s="16" t="n">
        <f aca="false">COUNTIFS('Controle SSI'!A:A,"I",'Controle SSI'!G:G,"N/A")</f>
        <v>0</v>
      </c>
      <c r="G10" s="45" t="n">
        <f aca="false">IFERROR(E10/MAX(B10-F10,1),0)</f>
        <v>0</v>
      </c>
      <c r="H10" s="46" t="n">
        <f aca="false">SUMIF('Controle SSI'!A:A,"I",'Controle SSI'!I:I)</f>
        <v>0</v>
      </c>
      <c r="I10" s="16" t="n">
        <f aca="false">B10*2</f>
        <v>10</v>
      </c>
      <c r="J10" s="47" t="n">
        <f aca="false">IFERROR(H10/B10,0)</f>
        <v>0</v>
      </c>
    </row>
    <row r="11" customFormat="false" ht="15" hidden="false" customHeight="false" outlineLevel="0" collapsed="false">
      <c r="A11" s="20" t="s">
        <v>250</v>
      </c>
      <c r="B11" s="8" t="n">
        <f aca="false">COUNTIF('Controle SSI'!A:A,"J")</f>
        <v>5</v>
      </c>
      <c r="C11" s="21" t="n">
        <f aca="false">COUNTIFS('Controle SSI'!A:A,"J",'Controle SSI'!G:G,"Non")</f>
        <v>0</v>
      </c>
      <c r="D11" s="22" t="n">
        <f aca="false">COUNTIFS('Controle SSI'!A:A,"J",'Controle SSI'!G:G,"Partiel")</f>
        <v>0</v>
      </c>
      <c r="E11" s="23" t="n">
        <f aca="false">COUNTIFS('Controle SSI'!A:A,"J",'Controle SSI'!G:G,"Oui")</f>
        <v>0</v>
      </c>
      <c r="F11" s="8" t="n">
        <f aca="false">COUNTIFS('Controle SSI'!A:A,"J",'Controle SSI'!G:G,"N/A")</f>
        <v>0</v>
      </c>
      <c r="G11" s="24" t="n">
        <f aca="false">IFERROR(E11/MAX(B11-F11,1),0)</f>
        <v>0</v>
      </c>
      <c r="H11" s="25" t="n">
        <f aca="false">SUMIF('Controle SSI'!A:A,"J",'Controle SSI'!I:I)</f>
        <v>0</v>
      </c>
      <c r="I11" s="8" t="n">
        <f aca="false">B11*2</f>
        <v>10</v>
      </c>
      <c r="J11" s="26" t="n">
        <f aca="false">IFERROR(H11/B11,0)</f>
        <v>0</v>
      </c>
    </row>
    <row r="12" customFormat="false" ht="15" hidden="false" customHeight="false" outlineLevel="0" collapsed="false">
      <c r="A12" s="48" t="s">
        <v>251</v>
      </c>
      <c r="B12" s="18" t="n">
        <f aca="false">COUNTIF('Controle SSI'!A:A,"K")</f>
        <v>8</v>
      </c>
      <c r="C12" s="49" t="n">
        <f aca="false">COUNTIFS('Controle SSI'!A:A,"K",'Controle SSI'!G:G,"Non")</f>
        <v>0</v>
      </c>
      <c r="D12" s="50" t="n">
        <f aca="false">COUNTIFS('Controle SSI'!A:A,"K",'Controle SSI'!G:G,"Partiel")</f>
        <v>0</v>
      </c>
      <c r="E12" s="51" t="n">
        <f aca="false">COUNTIFS('Controle SSI'!A:A,"K",'Controle SSI'!G:G,"Oui")</f>
        <v>0</v>
      </c>
      <c r="F12" s="18" t="n">
        <f aca="false">COUNTIFS('Controle SSI'!A:A,"K",'Controle SSI'!G:G,"N/A")</f>
        <v>0</v>
      </c>
      <c r="G12" s="52" t="n">
        <f aca="false">IFERROR(E12/MAX(B12-F12,1),0)</f>
        <v>0</v>
      </c>
      <c r="H12" s="53" t="n">
        <f aca="false">SUMIF('Controle SSI'!A:A,"K",'Controle SSI'!I:I)</f>
        <v>0</v>
      </c>
      <c r="I12" s="18" t="n">
        <f aca="false">B12*2</f>
        <v>16</v>
      </c>
      <c r="J12" s="54" t="n">
        <f aca="false">IFERROR(H12/B12,0)</f>
        <v>0</v>
      </c>
    </row>
    <row r="13" customFormat="false" ht="15" hidden="false" customHeight="false" outlineLevel="0" collapsed="false">
      <c r="A13" s="55" t="s">
        <v>252</v>
      </c>
      <c r="B13" s="55" t="n">
        <f aca="false">SUM(B2:B12)</f>
        <v>80</v>
      </c>
      <c r="C13" s="55" t="n">
        <f aca="false">SUM(C2:C12)</f>
        <v>0</v>
      </c>
      <c r="D13" s="55" t="n">
        <f aca="false">SUM(D2:D12)</f>
        <v>0</v>
      </c>
      <c r="E13" s="55" t="n">
        <f aca="false">SUM(E2:E12)</f>
        <v>0</v>
      </c>
      <c r="F13" s="55" t="n">
        <f aca="false">SUM(F2:F12)</f>
        <v>0</v>
      </c>
      <c r="G13" s="56" t="n">
        <f aca="false">IFERROR(E13/MAX(B13-F13,1),0)</f>
        <v>0</v>
      </c>
      <c r="H13" s="55" t="n">
        <f aca="false">SUM(H2:H12)</f>
        <v>0</v>
      </c>
      <c r="I13" s="55" t="n">
        <f aca="false">SUM(I2:I12)</f>
        <v>160</v>
      </c>
      <c r="J13" s="57" t="n">
        <f aca="false">IFERROR(H13/B13,0)</f>
        <v>0</v>
      </c>
    </row>
    <row r="16" customFormat="false" ht="15" hidden="false" customHeight="false" outlineLevel="0" collapsed="false">
      <c r="A16" s="58" t="s">
        <v>253</v>
      </c>
      <c r="B16" s="58"/>
      <c r="C16" s="58"/>
    </row>
    <row r="17" customFormat="false" ht="15" hidden="false" customHeight="false" outlineLevel="0" collapsed="false">
      <c r="A17" s="59" t="s">
        <v>254</v>
      </c>
      <c r="B17" s="60" t="n">
        <f aca="false">I15/2</f>
        <v>0</v>
      </c>
      <c r="C17" s="60"/>
    </row>
    <row r="18" customFormat="false" ht="15" hidden="false" customHeight="false" outlineLevel="0" collapsed="false">
      <c r="A18" s="59" t="s">
        <v>255</v>
      </c>
      <c r="B18" s="60" t="n">
        <f aca="false">G13</f>
        <v>0</v>
      </c>
      <c r="C18" s="60"/>
    </row>
    <row r="19" customFormat="false" ht="15" hidden="false" customHeight="false" outlineLevel="0" collapsed="false">
      <c r="A19" s="59" t="s">
        <v>256</v>
      </c>
      <c r="B19" s="61" t="n">
        <f aca="false">C13</f>
        <v>0</v>
      </c>
      <c r="C19" s="61"/>
    </row>
    <row r="20" customFormat="false" ht="15" hidden="false" customHeight="false" outlineLevel="0" collapsed="false">
      <c r="A20" s="59" t="s">
        <v>257</v>
      </c>
      <c r="B20" s="61" t="n">
        <f aca="false">D13</f>
        <v>0</v>
      </c>
      <c r="C20" s="61"/>
    </row>
  </sheetData>
  <autoFilter ref="A1:J13"/>
  <mergeCells count="5">
    <mergeCell ref="A16:C16"/>
    <mergeCell ref="B17:C17"/>
    <mergeCell ref="B18:C18"/>
    <mergeCell ref="B19:C19"/>
    <mergeCell ref="B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2026-06-18T11:54:24Z</dcterms:created>
  <dc:creator>openpyxl</dc:creator>
  <dc:description/>
  <dc:language>en-US</dc:language>
  <cp:lastModifiedBy/>
  <dcterms:modified xsi:type="dcterms:W3CDTF">2026-06-18T11:54:24Z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